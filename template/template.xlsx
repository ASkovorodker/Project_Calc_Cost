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Vik Kis\Desktop\Project_Calc_arc\template\"/>
    </mc:Choice>
  </mc:AlternateContent>
  <bookViews>
    <workbookView xWindow="0" yWindow="0" windowWidth="28800" windowHeight="12300" tabRatio="500"/>
  </bookViews>
  <sheets>
    <sheet name="Базовый" sheetId="1" r:id="rId1"/>
    <sheet name="анализ стоимости" sheetId="2" r:id="rId2"/>
    <sheet name="META" sheetId="3" state="hidden" r:id="rId3"/>
  </sheets>
  <definedNames>
    <definedName name="_xlnm._FilterDatabase" localSheetId="0" hidden="1">Базовый!$A$1:$M$5</definedName>
  </definedName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1000" i="1" l="1"/>
  <c r="H1000" i="1"/>
  <c r="J1000" i="1" s="1"/>
  <c r="K999" i="1"/>
  <c r="L999" i="1" s="1"/>
  <c r="H999" i="1"/>
  <c r="J999" i="1" s="1"/>
  <c r="L998" i="1"/>
  <c r="K998" i="1"/>
  <c r="J998" i="1"/>
  <c r="H998" i="1"/>
  <c r="K997" i="1"/>
  <c r="H997" i="1"/>
  <c r="J997" i="1" s="1"/>
  <c r="K996" i="1"/>
  <c r="L996" i="1" s="1"/>
  <c r="J996" i="1"/>
  <c r="H996" i="1"/>
  <c r="L995" i="1"/>
  <c r="K995" i="1"/>
  <c r="J995" i="1"/>
  <c r="H995" i="1"/>
  <c r="K994" i="1"/>
  <c r="J994" i="1"/>
  <c r="H994" i="1"/>
  <c r="K993" i="1"/>
  <c r="H993" i="1"/>
  <c r="J993" i="1" s="1"/>
  <c r="L993" i="1" s="1"/>
  <c r="L992" i="1"/>
  <c r="K992" i="1"/>
  <c r="J992" i="1"/>
  <c r="H992" i="1"/>
  <c r="K991" i="1"/>
  <c r="J991" i="1"/>
  <c r="H991" i="1"/>
  <c r="K990" i="1"/>
  <c r="J990" i="1"/>
  <c r="H990" i="1"/>
  <c r="L989" i="1"/>
  <c r="K989" i="1"/>
  <c r="J989" i="1"/>
  <c r="H989" i="1"/>
  <c r="K988" i="1"/>
  <c r="J988" i="1"/>
  <c r="H988" i="1"/>
  <c r="K987" i="1"/>
  <c r="H987" i="1"/>
  <c r="J987" i="1" s="1"/>
  <c r="L987" i="1" s="1"/>
  <c r="L986" i="1"/>
  <c r="K986" i="1"/>
  <c r="J986" i="1"/>
  <c r="H986" i="1"/>
  <c r="K985" i="1"/>
  <c r="H985" i="1"/>
  <c r="J985" i="1" s="1"/>
  <c r="K984" i="1"/>
  <c r="H984" i="1"/>
  <c r="J984" i="1" s="1"/>
  <c r="L983" i="1"/>
  <c r="K983" i="1"/>
  <c r="J983" i="1"/>
  <c r="H983" i="1"/>
  <c r="K982" i="1"/>
  <c r="J982" i="1"/>
  <c r="H982" i="1"/>
  <c r="K981" i="1"/>
  <c r="L981" i="1" s="1"/>
  <c r="J981" i="1"/>
  <c r="H981" i="1"/>
  <c r="L980" i="1"/>
  <c r="K980" i="1"/>
  <c r="J980" i="1"/>
  <c r="H980" i="1"/>
  <c r="K979" i="1"/>
  <c r="H979" i="1"/>
  <c r="J979" i="1" s="1"/>
  <c r="K978" i="1"/>
  <c r="H978" i="1"/>
  <c r="J978" i="1" s="1"/>
  <c r="L978" i="1" s="1"/>
  <c r="L977" i="1"/>
  <c r="K977" i="1"/>
  <c r="J977" i="1"/>
  <c r="H977" i="1"/>
  <c r="K976" i="1"/>
  <c r="L976" i="1" s="1"/>
  <c r="H976" i="1"/>
  <c r="J976" i="1" s="1"/>
  <c r="K975" i="1"/>
  <c r="H975" i="1"/>
  <c r="J975" i="1" s="1"/>
  <c r="L974" i="1"/>
  <c r="K974" i="1"/>
  <c r="J974" i="1"/>
  <c r="H974" i="1"/>
  <c r="K973" i="1"/>
  <c r="J973" i="1"/>
  <c r="H973" i="1"/>
  <c r="K972" i="1"/>
  <c r="H972" i="1"/>
  <c r="J972" i="1" s="1"/>
  <c r="K971" i="1"/>
  <c r="L971" i="1" s="1"/>
  <c r="J971" i="1"/>
  <c r="H971" i="1"/>
  <c r="K970" i="1"/>
  <c r="H970" i="1"/>
  <c r="J970" i="1" s="1"/>
  <c r="K969" i="1"/>
  <c r="J969" i="1"/>
  <c r="H969" i="1"/>
  <c r="K968" i="1"/>
  <c r="L968" i="1" s="1"/>
  <c r="J968" i="1"/>
  <c r="H968" i="1"/>
  <c r="K967" i="1"/>
  <c r="J967" i="1"/>
  <c r="H967" i="1"/>
  <c r="K966" i="1"/>
  <c r="H966" i="1"/>
  <c r="J966" i="1" s="1"/>
  <c r="L966" i="1" s="1"/>
  <c r="L965" i="1"/>
  <c r="K965" i="1"/>
  <c r="J965" i="1"/>
  <c r="H965" i="1"/>
  <c r="K964" i="1"/>
  <c r="J964" i="1"/>
  <c r="H964" i="1"/>
  <c r="L963" i="1"/>
  <c r="K963" i="1"/>
  <c r="H963" i="1"/>
  <c r="J963" i="1" s="1"/>
  <c r="K962" i="1"/>
  <c r="L962" i="1" s="1"/>
  <c r="J962" i="1"/>
  <c r="H962" i="1"/>
  <c r="K961" i="1"/>
  <c r="H961" i="1"/>
  <c r="J961" i="1" s="1"/>
  <c r="K960" i="1"/>
  <c r="J960" i="1"/>
  <c r="L960" i="1" s="1"/>
  <c r="H960" i="1"/>
  <c r="K959" i="1"/>
  <c r="L959" i="1" s="1"/>
  <c r="J959" i="1"/>
  <c r="H959" i="1"/>
  <c r="K958" i="1"/>
  <c r="L958" i="1" s="1"/>
  <c r="J958" i="1"/>
  <c r="H958" i="1"/>
  <c r="K957" i="1"/>
  <c r="H957" i="1"/>
  <c r="J957" i="1" s="1"/>
  <c r="K956" i="1"/>
  <c r="L956" i="1" s="1"/>
  <c r="J956" i="1"/>
  <c r="H956" i="1"/>
  <c r="K955" i="1"/>
  <c r="H955" i="1"/>
  <c r="J955" i="1" s="1"/>
  <c r="K954" i="1"/>
  <c r="L954" i="1" s="1"/>
  <c r="H954" i="1"/>
  <c r="J954" i="1" s="1"/>
  <c r="L953" i="1"/>
  <c r="K953" i="1"/>
  <c r="J953" i="1"/>
  <c r="H953" i="1"/>
  <c r="K952" i="1"/>
  <c r="L952" i="1" s="1"/>
  <c r="H952" i="1"/>
  <c r="J952" i="1" s="1"/>
  <c r="L951" i="1"/>
  <c r="K951" i="1"/>
  <c r="J951" i="1"/>
  <c r="H951" i="1"/>
  <c r="K950" i="1"/>
  <c r="L950" i="1" s="1"/>
  <c r="J950" i="1"/>
  <c r="H950" i="1"/>
  <c r="K949" i="1"/>
  <c r="J949" i="1"/>
  <c r="H949" i="1"/>
  <c r="L948" i="1"/>
  <c r="K948" i="1"/>
  <c r="H948" i="1"/>
  <c r="J948" i="1" s="1"/>
  <c r="L947" i="1"/>
  <c r="K947" i="1"/>
  <c r="J947" i="1"/>
  <c r="H947" i="1"/>
  <c r="K946" i="1"/>
  <c r="J946" i="1"/>
  <c r="H946" i="1"/>
  <c r="K945" i="1"/>
  <c r="J945" i="1"/>
  <c r="L945" i="1" s="1"/>
  <c r="H945" i="1"/>
  <c r="L944" i="1"/>
  <c r="K944" i="1"/>
  <c r="J944" i="1"/>
  <c r="H944" i="1"/>
  <c r="K943" i="1"/>
  <c r="H943" i="1"/>
  <c r="J943" i="1" s="1"/>
  <c r="L942" i="1"/>
  <c r="K942" i="1"/>
  <c r="J942" i="1"/>
  <c r="H942" i="1"/>
  <c r="K941" i="1"/>
  <c r="L941" i="1" s="1"/>
  <c r="J941" i="1"/>
  <c r="H941" i="1"/>
  <c r="K940" i="1"/>
  <c r="L940" i="1" s="1"/>
  <c r="H940" i="1"/>
  <c r="J940" i="1" s="1"/>
  <c r="K939" i="1"/>
  <c r="J939" i="1"/>
  <c r="H939" i="1"/>
  <c r="L938" i="1"/>
  <c r="K938" i="1"/>
  <c r="J938" i="1"/>
  <c r="H938" i="1"/>
  <c r="K937" i="1"/>
  <c r="J937" i="1"/>
  <c r="H937" i="1"/>
  <c r="K936" i="1"/>
  <c r="H936" i="1"/>
  <c r="J936" i="1" s="1"/>
  <c r="K935" i="1"/>
  <c r="L935" i="1" s="1"/>
  <c r="J935" i="1"/>
  <c r="H935" i="1"/>
  <c r="K934" i="1"/>
  <c r="H934" i="1"/>
  <c r="J934" i="1" s="1"/>
  <c r="K933" i="1"/>
  <c r="J933" i="1"/>
  <c r="H933" i="1"/>
  <c r="K932" i="1"/>
  <c r="L932" i="1" s="1"/>
  <c r="J932" i="1"/>
  <c r="H932" i="1"/>
  <c r="K931" i="1"/>
  <c r="L931" i="1" s="1"/>
  <c r="J931" i="1"/>
  <c r="H931" i="1"/>
  <c r="K930" i="1"/>
  <c r="H930" i="1"/>
  <c r="J930" i="1" s="1"/>
  <c r="L930" i="1" s="1"/>
  <c r="L929" i="1"/>
  <c r="K929" i="1"/>
  <c r="J929" i="1"/>
  <c r="H929" i="1"/>
  <c r="K928" i="1"/>
  <c r="H928" i="1"/>
  <c r="J928" i="1" s="1"/>
  <c r="L927" i="1"/>
  <c r="K927" i="1"/>
  <c r="H927" i="1"/>
  <c r="J927" i="1" s="1"/>
  <c r="K926" i="1"/>
  <c r="L926" i="1" s="1"/>
  <c r="J926" i="1"/>
  <c r="H926" i="1"/>
  <c r="K925" i="1"/>
  <c r="H925" i="1"/>
  <c r="J925" i="1" s="1"/>
  <c r="K924" i="1"/>
  <c r="J924" i="1"/>
  <c r="H924" i="1"/>
  <c r="K923" i="1"/>
  <c r="L923" i="1" s="1"/>
  <c r="J923" i="1"/>
  <c r="H923" i="1"/>
  <c r="K922" i="1"/>
  <c r="L922" i="1" s="1"/>
  <c r="J922" i="1"/>
  <c r="H922" i="1"/>
  <c r="K921" i="1"/>
  <c r="L921" i="1" s="1"/>
  <c r="J921" i="1"/>
  <c r="H921" i="1"/>
  <c r="K920" i="1"/>
  <c r="L920" i="1" s="1"/>
  <c r="J920" i="1"/>
  <c r="H920" i="1"/>
  <c r="K919" i="1"/>
  <c r="L919" i="1" s="1"/>
  <c r="H919" i="1"/>
  <c r="J919" i="1" s="1"/>
  <c r="K918" i="1"/>
  <c r="L918" i="1" s="1"/>
  <c r="H918" i="1"/>
  <c r="J918" i="1" s="1"/>
  <c r="L917" i="1"/>
  <c r="K917" i="1"/>
  <c r="J917" i="1"/>
  <c r="H917" i="1"/>
  <c r="K916" i="1"/>
  <c r="H916" i="1"/>
  <c r="J916" i="1" s="1"/>
  <c r="L915" i="1"/>
  <c r="K915" i="1"/>
  <c r="J915" i="1"/>
  <c r="H915" i="1"/>
  <c r="K914" i="1"/>
  <c r="L914" i="1" s="1"/>
  <c r="J914" i="1"/>
  <c r="H914" i="1"/>
  <c r="K913" i="1"/>
  <c r="L913" i="1" s="1"/>
  <c r="J913" i="1"/>
  <c r="H913" i="1"/>
  <c r="K912" i="1"/>
  <c r="L912" i="1" s="1"/>
  <c r="H912" i="1"/>
  <c r="J912" i="1" s="1"/>
  <c r="L911" i="1"/>
  <c r="K911" i="1"/>
  <c r="J911" i="1"/>
  <c r="H911" i="1"/>
  <c r="K910" i="1"/>
  <c r="J910" i="1"/>
  <c r="H910" i="1"/>
  <c r="K909" i="1"/>
  <c r="J909" i="1"/>
  <c r="L909" i="1" s="1"/>
  <c r="H909" i="1"/>
  <c r="K908" i="1"/>
  <c r="L908" i="1" s="1"/>
  <c r="J908" i="1"/>
  <c r="H908" i="1"/>
  <c r="K907" i="1"/>
  <c r="H907" i="1"/>
  <c r="J907" i="1" s="1"/>
  <c r="K906" i="1"/>
  <c r="L906" i="1" s="1"/>
  <c r="J906" i="1"/>
  <c r="H906" i="1"/>
  <c r="K905" i="1"/>
  <c r="L905" i="1" s="1"/>
  <c r="J905" i="1"/>
  <c r="H905" i="1"/>
  <c r="K904" i="1"/>
  <c r="L904" i="1" s="1"/>
  <c r="H904" i="1"/>
  <c r="J904" i="1" s="1"/>
  <c r="K903" i="1"/>
  <c r="J903" i="1"/>
  <c r="H903" i="1"/>
  <c r="L902" i="1"/>
  <c r="K902" i="1"/>
  <c r="J902" i="1"/>
  <c r="H902" i="1"/>
  <c r="K901" i="1"/>
  <c r="J901" i="1"/>
  <c r="H901" i="1"/>
  <c r="K900" i="1"/>
  <c r="H900" i="1"/>
  <c r="J900" i="1" s="1"/>
  <c r="K899" i="1"/>
  <c r="L899" i="1" s="1"/>
  <c r="J899" i="1"/>
  <c r="H899" i="1"/>
  <c r="K898" i="1"/>
  <c r="J898" i="1"/>
  <c r="H898" i="1"/>
  <c r="K897" i="1"/>
  <c r="J897" i="1"/>
  <c r="H897" i="1"/>
  <c r="K896" i="1"/>
  <c r="L896" i="1" s="1"/>
  <c r="J896" i="1"/>
  <c r="H896" i="1"/>
  <c r="K895" i="1"/>
  <c r="J895" i="1"/>
  <c r="H895" i="1"/>
  <c r="L894" i="1"/>
  <c r="K894" i="1"/>
  <c r="H894" i="1"/>
  <c r="J894" i="1" s="1"/>
  <c r="L893" i="1"/>
  <c r="K893" i="1"/>
  <c r="J893" i="1"/>
  <c r="H893" i="1"/>
  <c r="K892" i="1"/>
  <c r="H892" i="1"/>
  <c r="J892" i="1" s="1"/>
  <c r="L891" i="1"/>
  <c r="K891" i="1"/>
  <c r="H891" i="1"/>
  <c r="J891" i="1" s="1"/>
  <c r="L890" i="1"/>
  <c r="K890" i="1"/>
  <c r="J890" i="1"/>
  <c r="H890" i="1"/>
  <c r="K889" i="1"/>
  <c r="H889" i="1"/>
  <c r="J889" i="1" s="1"/>
  <c r="K888" i="1"/>
  <c r="L888" i="1" s="1"/>
  <c r="J888" i="1"/>
  <c r="H888" i="1"/>
  <c r="K887" i="1"/>
  <c r="L887" i="1" s="1"/>
  <c r="J887" i="1"/>
  <c r="H887" i="1"/>
  <c r="K886" i="1"/>
  <c r="J886" i="1"/>
  <c r="H886" i="1"/>
  <c r="K885" i="1"/>
  <c r="J885" i="1"/>
  <c r="H885" i="1"/>
  <c r="K884" i="1"/>
  <c r="L884" i="1" s="1"/>
  <c r="J884" i="1"/>
  <c r="H884" i="1"/>
  <c r="K883" i="1"/>
  <c r="J883" i="1"/>
  <c r="H883" i="1"/>
  <c r="K882" i="1"/>
  <c r="H882" i="1"/>
  <c r="J882" i="1" s="1"/>
  <c r="L881" i="1"/>
  <c r="K881" i="1"/>
  <c r="J881" i="1"/>
  <c r="H881" i="1"/>
  <c r="K880" i="1"/>
  <c r="H880" i="1"/>
  <c r="J880" i="1" s="1"/>
  <c r="K879" i="1"/>
  <c r="J879" i="1"/>
  <c r="L879" i="1" s="1"/>
  <c r="H879" i="1"/>
  <c r="K878" i="1"/>
  <c r="L878" i="1" s="1"/>
  <c r="J878" i="1"/>
  <c r="H878" i="1"/>
  <c r="K877" i="1"/>
  <c r="J877" i="1"/>
  <c r="H877" i="1"/>
  <c r="K876" i="1"/>
  <c r="L876" i="1" s="1"/>
  <c r="H876" i="1"/>
  <c r="J876" i="1" s="1"/>
  <c r="L875" i="1"/>
  <c r="K875" i="1"/>
  <c r="J875" i="1"/>
  <c r="H875" i="1"/>
  <c r="K874" i="1"/>
  <c r="J874" i="1"/>
  <c r="H874" i="1"/>
  <c r="L873" i="1"/>
  <c r="K873" i="1"/>
  <c r="J873" i="1"/>
  <c r="H873" i="1"/>
  <c r="L872" i="1"/>
  <c r="K872" i="1"/>
  <c r="J872" i="1"/>
  <c r="H872" i="1"/>
  <c r="K871" i="1"/>
  <c r="H871" i="1"/>
  <c r="J871" i="1" s="1"/>
  <c r="L870" i="1"/>
  <c r="K870" i="1"/>
  <c r="J870" i="1"/>
  <c r="H870" i="1"/>
  <c r="K869" i="1"/>
  <c r="J869" i="1"/>
  <c r="H869" i="1"/>
  <c r="K868" i="1"/>
  <c r="L868" i="1" s="1"/>
  <c r="H868" i="1"/>
  <c r="J868" i="1" s="1"/>
  <c r="K867" i="1"/>
  <c r="H867" i="1"/>
  <c r="J867" i="1" s="1"/>
  <c r="L866" i="1"/>
  <c r="K866" i="1"/>
  <c r="J866" i="1"/>
  <c r="H866" i="1"/>
  <c r="K865" i="1"/>
  <c r="J865" i="1"/>
  <c r="H865" i="1"/>
  <c r="K864" i="1"/>
  <c r="H864" i="1"/>
  <c r="J864" i="1" s="1"/>
  <c r="L863" i="1"/>
  <c r="K863" i="1"/>
  <c r="J863" i="1"/>
  <c r="H863" i="1"/>
  <c r="K862" i="1"/>
  <c r="J862" i="1"/>
  <c r="H862" i="1"/>
  <c r="K861" i="1"/>
  <c r="J861" i="1"/>
  <c r="H861" i="1"/>
  <c r="K860" i="1"/>
  <c r="L860" i="1" s="1"/>
  <c r="J860" i="1"/>
  <c r="H860" i="1"/>
  <c r="K859" i="1"/>
  <c r="J859" i="1"/>
  <c r="H859" i="1"/>
  <c r="L858" i="1"/>
  <c r="K858" i="1"/>
  <c r="H858" i="1"/>
  <c r="J858" i="1" s="1"/>
  <c r="L857" i="1"/>
  <c r="K857" i="1"/>
  <c r="J857" i="1"/>
  <c r="H857" i="1"/>
  <c r="K856" i="1"/>
  <c r="J856" i="1"/>
  <c r="H856" i="1"/>
  <c r="K855" i="1"/>
  <c r="H855" i="1"/>
  <c r="J855" i="1" s="1"/>
  <c r="L855" i="1" s="1"/>
  <c r="L854" i="1"/>
  <c r="K854" i="1"/>
  <c r="J854" i="1"/>
  <c r="H854" i="1"/>
  <c r="K853" i="1"/>
  <c r="H853" i="1"/>
  <c r="J853" i="1" s="1"/>
  <c r="L852" i="1"/>
  <c r="K852" i="1"/>
  <c r="J852" i="1"/>
  <c r="H852" i="1"/>
  <c r="K851" i="1"/>
  <c r="J851" i="1"/>
  <c r="H851" i="1"/>
  <c r="K850" i="1"/>
  <c r="J850" i="1"/>
  <c r="H850" i="1"/>
  <c r="K849" i="1"/>
  <c r="J849" i="1"/>
  <c r="H849" i="1"/>
  <c r="K848" i="1"/>
  <c r="L848" i="1" s="1"/>
  <c r="J848" i="1"/>
  <c r="H848" i="1"/>
  <c r="K847" i="1"/>
  <c r="L847" i="1" s="1"/>
  <c r="H847" i="1"/>
  <c r="J847" i="1" s="1"/>
  <c r="K846" i="1"/>
  <c r="H846" i="1"/>
  <c r="J846" i="1" s="1"/>
  <c r="L845" i="1"/>
  <c r="K845" i="1"/>
  <c r="J845" i="1"/>
  <c r="H845" i="1"/>
  <c r="K844" i="1"/>
  <c r="L844" i="1" s="1"/>
  <c r="H844" i="1"/>
  <c r="J844" i="1" s="1"/>
  <c r="K843" i="1"/>
  <c r="J843" i="1"/>
  <c r="L843" i="1" s="1"/>
  <c r="H843" i="1"/>
  <c r="K842" i="1"/>
  <c r="L842" i="1" s="1"/>
  <c r="J842" i="1"/>
  <c r="H842" i="1"/>
  <c r="K841" i="1"/>
  <c r="J841" i="1"/>
  <c r="H841" i="1"/>
  <c r="K840" i="1"/>
  <c r="H840" i="1"/>
  <c r="J840" i="1" s="1"/>
  <c r="L840" i="1" s="1"/>
  <c r="L839" i="1"/>
  <c r="K839" i="1"/>
  <c r="J839" i="1"/>
  <c r="H839" i="1"/>
  <c r="K838" i="1"/>
  <c r="J838" i="1"/>
  <c r="H838" i="1"/>
  <c r="L837" i="1"/>
  <c r="K837" i="1"/>
  <c r="J837" i="1"/>
  <c r="H837" i="1"/>
  <c r="K836" i="1"/>
  <c r="L836" i="1" s="1"/>
  <c r="J836" i="1"/>
  <c r="H836" i="1"/>
  <c r="K835" i="1"/>
  <c r="H835" i="1"/>
  <c r="J835" i="1" s="1"/>
  <c r="K834" i="1"/>
  <c r="L834" i="1" s="1"/>
  <c r="J834" i="1"/>
  <c r="H834" i="1"/>
  <c r="K833" i="1"/>
  <c r="L833" i="1" s="1"/>
  <c r="J833" i="1"/>
  <c r="H833" i="1"/>
  <c r="K832" i="1"/>
  <c r="L832" i="1" s="1"/>
  <c r="H832" i="1"/>
  <c r="J832" i="1" s="1"/>
  <c r="K831" i="1"/>
  <c r="H831" i="1"/>
  <c r="J831" i="1" s="1"/>
  <c r="L830" i="1"/>
  <c r="K830" i="1"/>
  <c r="J830" i="1"/>
  <c r="H830" i="1"/>
  <c r="K829" i="1"/>
  <c r="L829" i="1" s="1"/>
  <c r="J829" i="1"/>
  <c r="H829" i="1"/>
  <c r="K828" i="1"/>
  <c r="H828" i="1"/>
  <c r="J828" i="1" s="1"/>
  <c r="L827" i="1"/>
  <c r="K827" i="1"/>
  <c r="J827" i="1"/>
  <c r="H827" i="1"/>
  <c r="K826" i="1"/>
  <c r="J826" i="1"/>
  <c r="H826" i="1"/>
  <c r="K825" i="1"/>
  <c r="L825" i="1" s="1"/>
  <c r="J825" i="1"/>
  <c r="H825" i="1"/>
  <c r="K824" i="1"/>
  <c r="L824" i="1" s="1"/>
  <c r="J824" i="1"/>
  <c r="H824" i="1"/>
  <c r="K823" i="1"/>
  <c r="J823" i="1"/>
  <c r="H823" i="1"/>
  <c r="K822" i="1"/>
  <c r="H822" i="1"/>
  <c r="J822" i="1" s="1"/>
  <c r="L822" i="1" s="1"/>
  <c r="L821" i="1"/>
  <c r="K821" i="1"/>
  <c r="J821" i="1"/>
  <c r="H821" i="1"/>
  <c r="K820" i="1"/>
  <c r="J820" i="1"/>
  <c r="H820" i="1"/>
  <c r="K819" i="1"/>
  <c r="H819" i="1"/>
  <c r="J819" i="1" s="1"/>
  <c r="L819" i="1" s="1"/>
  <c r="K818" i="1"/>
  <c r="L818" i="1" s="1"/>
  <c r="J818" i="1"/>
  <c r="H818" i="1"/>
  <c r="K817" i="1"/>
  <c r="H817" i="1"/>
  <c r="J817" i="1" s="1"/>
  <c r="K816" i="1"/>
  <c r="L816" i="1" s="1"/>
  <c r="J816" i="1"/>
  <c r="H816" i="1"/>
  <c r="K815" i="1"/>
  <c r="L815" i="1" s="1"/>
  <c r="J815" i="1"/>
  <c r="H815" i="1"/>
  <c r="K814" i="1"/>
  <c r="L814" i="1" s="1"/>
  <c r="J814" i="1"/>
  <c r="H814" i="1"/>
  <c r="K813" i="1"/>
  <c r="J813" i="1"/>
  <c r="H813" i="1"/>
  <c r="K812" i="1"/>
  <c r="L812" i="1" s="1"/>
  <c r="J812" i="1"/>
  <c r="H812" i="1"/>
  <c r="K811" i="1"/>
  <c r="L811" i="1" s="1"/>
  <c r="J811" i="1"/>
  <c r="H811" i="1"/>
  <c r="K810" i="1"/>
  <c r="L810" i="1" s="1"/>
  <c r="J810" i="1"/>
  <c r="H810" i="1"/>
  <c r="L809" i="1"/>
  <c r="K809" i="1"/>
  <c r="J809" i="1"/>
  <c r="H809" i="1"/>
  <c r="K808" i="1"/>
  <c r="H808" i="1"/>
  <c r="J808" i="1" s="1"/>
  <c r="L807" i="1"/>
  <c r="K807" i="1"/>
  <c r="J807" i="1"/>
  <c r="H807" i="1"/>
  <c r="K806" i="1"/>
  <c r="L806" i="1" s="1"/>
  <c r="J806" i="1"/>
  <c r="H806" i="1"/>
  <c r="K805" i="1"/>
  <c r="J805" i="1"/>
  <c r="H805" i="1"/>
  <c r="K804" i="1"/>
  <c r="H804" i="1"/>
  <c r="J804" i="1" s="1"/>
  <c r="L803" i="1"/>
  <c r="K803" i="1"/>
  <c r="J803" i="1"/>
  <c r="H803" i="1"/>
  <c r="K802" i="1"/>
  <c r="J802" i="1"/>
  <c r="H802" i="1"/>
  <c r="L801" i="1"/>
  <c r="K801" i="1"/>
  <c r="J801" i="1"/>
  <c r="H801" i="1"/>
  <c r="K800" i="1"/>
  <c r="L800" i="1" s="1"/>
  <c r="J800" i="1"/>
  <c r="H800" i="1"/>
  <c r="K799" i="1"/>
  <c r="H799" i="1"/>
  <c r="J799" i="1" s="1"/>
  <c r="L798" i="1"/>
  <c r="K798" i="1"/>
  <c r="J798" i="1"/>
  <c r="H798" i="1"/>
  <c r="K797" i="1"/>
  <c r="J797" i="1"/>
  <c r="H797" i="1"/>
  <c r="K796" i="1"/>
  <c r="L796" i="1" s="1"/>
  <c r="H796" i="1"/>
  <c r="J796" i="1" s="1"/>
  <c r="K795" i="1"/>
  <c r="H795" i="1"/>
  <c r="J795" i="1" s="1"/>
  <c r="L794" i="1"/>
  <c r="K794" i="1"/>
  <c r="J794" i="1"/>
  <c r="H794" i="1"/>
  <c r="K793" i="1"/>
  <c r="J793" i="1"/>
  <c r="H793" i="1"/>
  <c r="K792" i="1"/>
  <c r="H792" i="1"/>
  <c r="J792" i="1" s="1"/>
  <c r="L791" i="1"/>
  <c r="K791" i="1"/>
  <c r="J791" i="1"/>
  <c r="H791" i="1"/>
  <c r="K790" i="1"/>
  <c r="J790" i="1"/>
  <c r="H790" i="1"/>
  <c r="K789" i="1"/>
  <c r="J789" i="1"/>
  <c r="H789" i="1"/>
  <c r="K788" i="1"/>
  <c r="J788" i="1"/>
  <c r="H788" i="1"/>
  <c r="K787" i="1"/>
  <c r="H787" i="1"/>
  <c r="J787" i="1" s="1"/>
  <c r="L786" i="1"/>
  <c r="K786" i="1"/>
  <c r="H786" i="1"/>
  <c r="J786" i="1" s="1"/>
  <c r="L785" i="1"/>
  <c r="K785" i="1"/>
  <c r="J785" i="1"/>
  <c r="H785" i="1"/>
  <c r="K784" i="1"/>
  <c r="J784" i="1"/>
  <c r="H784" i="1"/>
  <c r="K783" i="1"/>
  <c r="L783" i="1" s="1"/>
  <c r="H783" i="1"/>
  <c r="J783" i="1" s="1"/>
  <c r="L782" i="1"/>
  <c r="K782" i="1"/>
  <c r="J782" i="1"/>
  <c r="H782" i="1"/>
  <c r="K781" i="1"/>
  <c r="H781" i="1"/>
  <c r="J781" i="1" s="1"/>
  <c r="L780" i="1"/>
  <c r="K780" i="1"/>
  <c r="J780" i="1"/>
  <c r="H780" i="1"/>
  <c r="K779" i="1"/>
  <c r="L779" i="1" s="1"/>
  <c r="J779" i="1"/>
  <c r="H779" i="1"/>
  <c r="K778" i="1"/>
  <c r="J778" i="1"/>
  <c r="H778" i="1"/>
  <c r="K777" i="1"/>
  <c r="J777" i="1"/>
  <c r="H777" i="1"/>
  <c r="K776" i="1"/>
  <c r="L776" i="1" s="1"/>
  <c r="J776" i="1"/>
  <c r="H776" i="1"/>
  <c r="K775" i="1"/>
  <c r="L775" i="1" s="1"/>
  <c r="H775" i="1"/>
  <c r="J775" i="1" s="1"/>
  <c r="K774" i="1"/>
  <c r="L774" i="1" s="1"/>
  <c r="J774" i="1"/>
  <c r="H774" i="1"/>
  <c r="L773" i="1"/>
  <c r="K773" i="1"/>
  <c r="J773" i="1"/>
  <c r="H773" i="1"/>
  <c r="K772" i="1"/>
  <c r="H772" i="1"/>
  <c r="J772" i="1" s="1"/>
  <c r="L771" i="1"/>
  <c r="K771" i="1"/>
  <c r="J771" i="1"/>
  <c r="H771" i="1"/>
  <c r="K770" i="1"/>
  <c r="L770" i="1" s="1"/>
  <c r="J770" i="1"/>
  <c r="H770" i="1"/>
  <c r="K769" i="1"/>
  <c r="L769" i="1" s="1"/>
  <c r="J769" i="1"/>
  <c r="H769" i="1"/>
  <c r="K768" i="1"/>
  <c r="L768" i="1" s="1"/>
  <c r="H768" i="1"/>
  <c r="J768" i="1" s="1"/>
  <c r="L767" i="1"/>
  <c r="K767" i="1"/>
  <c r="J767" i="1"/>
  <c r="H767" i="1"/>
  <c r="K766" i="1"/>
  <c r="H766" i="1"/>
  <c r="J766" i="1" s="1"/>
  <c r="K765" i="1"/>
  <c r="J765" i="1"/>
  <c r="L765" i="1" s="1"/>
  <c r="H765" i="1"/>
  <c r="K764" i="1"/>
  <c r="L764" i="1" s="1"/>
  <c r="J764" i="1"/>
  <c r="H764" i="1"/>
  <c r="K763" i="1"/>
  <c r="H763" i="1"/>
  <c r="J763" i="1" s="1"/>
  <c r="K762" i="1"/>
  <c r="L762" i="1" s="1"/>
  <c r="J762" i="1"/>
  <c r="H762" i="1"/>
  <c r="K761" i="1"/>
  <c r="J761" i="1"/>
  <c r="H761" i="1"/>
  <c r="K760" i="1"/>
  <c r="L760" i="1" s="1"/>
  <c r="H760" i="1"/>
  <c r="J760" i="1" s="1"/>
  <c r="K759" i="1"/>
  <c r="J759" i="1"/>
  <c r="H759" i="1"/>
  <c r="L758" i="1"/>
  <c r="K758" i="1"/>
  <c r="J758" i="1"/>
  <c r="H758" i="1"/>
  <c r="K757" i="1"/>
  <c r="J757" i="1"/>
  <c r="H757" i="1"/>
  <c r="K756" i="1"/>
  <c r="H756" i="1"/>
  <c r="J756" i="1" s="1"/>
  <c r="K755" i="1"/>
  <c r="L755" i="1" s="1"/>
  <c r="J755" i="1"/>
  <c r="H755" i="1"/>
  <c r="L754" i="1"/>
  <c r="K754" i="1"/>
  <c r="J754" i="1"/>
  <c r="H754" i="1"/>
  <c r="K753" i="1"/>
  <c r="L753" i="1" s="1"/>
  <c r="J753" i="1"/>
  <c r="H753" i="1"/>
  <c r="K752" i="1"/>
  <c r="L752" i="1" s="1"/>
  <c r="J752" i="1"/>
  <c r="H752" i="1"/>
  <c r="L751" i="1"/>
  <c r="K751" i="1"/>
  <c r="J751" i="1"/>
  <c r="H751" i="1"/>
  <c r="K750" i="1"/>
  <c r="J750" i="1"/>
  <c r="H750" i="1"/>
  <c r="K749" i="1"/>
  <c r="L749" i="1" s="1"/>
  <c r="J749" i="1"/>
  <c r="H749" i="1"/>
  <c r="K748" i="1"/>
  <c r="L748" i="1" s="1"/>
  <c r="J748" i="1"/>
  <c r="H748" i="1"/>
  <c r="K747" i="1"/>
  <c r="H747" i="1"/>
  <c r="J747" i="1" s="1"/>
  <c r="L746" i="1"/>
  <c r="K746" i="1"/>
  <c r="J746" i="1"/>
  <c r="H746" i="1"/>
  <c r="L745" i="1"/>
  <c r="K745" i="1"/>
  <c r="J745" i="1"/>
  <c r="H745" i="1"/>
  <c r="K744" i="1"/>
  <c r="L744" i="1" s="1"/>
  <c r="J744" i="1"/>
  <c r="H744" i="1"/>
  <c r="L743" i="1"/>
  <c r="K743" i="1"/>
  <c r="J743" i="1"/>
  <c r="H743" i="1"/>
  <c r="K742" i="1"/>
  <c r="J742" i="1"/>
  <c r="H742" i="1"/>
  <c r="K741" i="1"/>
  <c r="J741" i="1"/>
  <c r="H741" i="1"/>
  <c r="K740" i="1"/>
  <c r="L740" i="1" s="1"/>
  <c r="J740" i="1"/>
  <c r="H740" i="1"/>
  <c r="K739" i="1"/>
  <c r="J739" i="1"/>
  <c r="L739" i="1" s="1"/>
  <c r="H739" i="1"/>
  <c r="K738" i="1"/>
  <c r="J738" i="1"/>
  <c r="H738" i="1"/>
  <c r="L737" i="1"/>
  <c r="K737" i="1"/>
  <c r="J737" i="1"/>
  <c r="H737" i="1"/>
  <c r="K736" i="1"/>
  <c r="J736" i="1"/>
  <c r="H736" i="1"/>
  <c r="K735" i="1"/>
  <c r="H735" i="1"/>
  <c r="J735" i="1" s="1"/>
  <c r="L734" i="1"/>
  <c r="K734" i="1"/>
  <c r="J734" i="1"/>
  <c r="H734" i="1"/>
  <c r="K733" i="1"/>
  <c r="J733" i="1"/>
  <c r="L733" i="1" s="1"/>
  <c r="H733" i="1"/>
  <c r="K732" i="1"/>
  <c r="H732" i="1"/>
  <c r="J732" i="1" s="1"/>
  <c r="K731" i="1"/>
  <c r="L731" i="1" s="1"/>
  <c r="J731" i="1"/>
  <c r="H731" i="1"/>
  <c r="L730" i="1"/>
  <c r="K730" i="1"/>
  <c r="J730" i="1"/>
  <c r="H730" i="1"/>
  <c r="K729" i="1"/>
  <c r="J729" i="1"/>
  <c r="H729" i="1"/>
  <c r="K728" i="1"/>
  <c r="L728" i="1" s="1"/>
  <c r="J728" i="1"/>
  <c r="H728" i="1"/>
  <c r="L727" i="1"/>
  <c r="K727" i="1"/>
  <c r="J727" i="1"/>
  <c r="H727" i="1"/>
  <c r="K726" i="1"/>
  <c r="H726" i="1"/>
  <c r="J726" i="1" s="1"/>
  <c r="K725" i="1"/>
  <c r="L725" i="1" s="1"/>
  <c r="J725" i="1"/>
  <c r="H725" i="1"/>
  <c r="K724" i="1"/>
  <c r="L724" i="1" s="1"/>
  <c r="J724" i="1"/>
  <c r="H724" i="1"/>
  <c r="K723" i="1"/>
  <c r="J723" i="1"/>
  <c r="H723" i="1"/>
  <c r="L722" i="1"/>
  <c r="K722" i="1"/>
  <c r="J722" i="1"/>
  <c r="H722" i="1"/>
  <c r="K721" i="1"/>
  <c r="J721" i="1"/>
  <c r="H721" i="1"/>
  <c r="K720" i="1"/>
  <c r="H720" i="1"/>
  <c r="J720" i="1" s="1"/>
  <c r="L719" i="1"/>
  <c r="K719" i="1"/>
  <c r="J719" i="1"/>
  <c r="H719" i="1"/>
  <c r="L718" i="1"/>
  <c r="K718" i="1"/>
  <c r="J718" i="1"/>
  <c r="H718" i="1"/>
  <c r="K717" i="1"/>
  <c r="L717" i="1" s="1"/>
  <c r="J717" i="1"/>
  <c r="H717" i="1"/>
  <c r="K716" i="1"/>
  <c r="L716" i="1" s="1"/>
  <c r="J716" i="1"/>
  <c r="H716" i="1"/>
  <c r="K715" i="1"/>
  <c r="L715" i="1" s="1"/>
  <c r="J715" i="1"/>
  <c r="H715" i="1"/>
  <c r="K714" i="1"/>
  <c r="J714" i="1"/>
  <c r="H714" i="1"/>
  <c r="K713" i="1"/>
  <c r="L713" i="1" s="1"/>
  <c r="J713" i="1"/>
  <c r="H713" i="1"/>
  <c r="K712" i="1"/>
  <c r="L712" i="1" s="1"/>
  <c r="J712" i="1"/>
  <c r="H712" i="1"/>
  <c r="K711" i="1"/>
  <c r="H711" i="1"/>
  <c r="J711" i="1" s="1"/>
  <c r="L710" i="1"/>
  <c r="K710" i="1"/>
  <c r="J710" i="1"/>
  <c r="H710" i="1"/>
  <c r="K709" i="1"/>
  <c r="J709" i="1"/>
  <c r="L709" i="1" s="1"/>
  <c r="H709" i="1"/>
  <c r="K708" i="1"/>
  <c r="J708" i="1"/>
  <c r="H708" i="1"/>
  <c r="L707" i="1"/>
  <c r="K707" i="1"/>
  <c r="J707" i="1"/>
  <c r="H707" i="1"/>
  <c r="K706" i="1"/>
  <c r="L706" i="1" s="1"/>
  <c r="J706" i="1"/>
  <c r="H706" i="1"/>
  <c r="K705" i="1"/>
  <c r="H705" i="1"/>
  <c r="J705" i="1" s="1"/>
  <c r="L704" i="1"/>
  <c r="K704" i="1"/>
  <c r="J704" i="1"/>
  <c r="H704" i="1"/>
  <c r="K703" i="1"/>
  <c r="J703" i="1"/>
  <c r="H703" i="1"/>
  <c r="K702" i="1"/>
  <c r="H702" i="1"/>
  <c r="J702" i="1" s="1"/>
  <c r="K701" i="1"/>
  <c r="L701" i="1" s="1"/>
  <c r="J701" i="1"/>
  <c r="H701" i="1"/>
  <c r="K700" i="1"/>
  <c r="L700" i="1" s="1"/>
  <c r="J700" i="1"/>
  <c r="H700" i="1"/>
  <c r="K699" i="1"/>
  <c r="H699" i="1"/>
  <c r="J699" i="1" s="1"/>
  <c r="K698" i="1"/>
  <c r="L698" i="1" s="1"/>
  <c r="J698" i="1"/>
  <c r="H698" i="1"/>
  <c r="K697" i="1"/>
  <c r="J697" i="1"/>
  <c r="L697" i="1" s="1"/>
  <c r="H697" i="1"/>
  <c r="K696" i="1"/>
  <c r="H696" i="1"/>
  <c r="J696" i="1" s="1"/>
  <c r="K695" i="1"/>
  <c r="L695" i="1" s="1"/>
  <c r="J695" i="1"/>
  <c r="H695" i="1"/>
  <c r="L694" i="1"/>
  <c r="K694" i="1"/>
  <c r="J694" i="1"/>
  <c r="H694" i="1"/>
  <c r="K693" i="1"/>
  <c r="H693" i="1"/>
  <c r="J693" i="1" s="1"/>
  <c r="L692" i="1"/>
  <c r="K692" i="1"/>
  <c r="J692" i="1"/>
  <c r="H692" i="1"/>
  <c r="K691" i="1"/>
  <c r="L691" i="1" s="1"/>
  <c r="J691" i="1"/>
  <c r="H691" i="1"/>
  <c r="K690" i="1"/>
  <c r="L690" i="1" s="1"/>
  <c r="J690" i="1"/>
  <c r="H690" i="1"/>
  <c r="K689" i="1"/>
  <c r="L689" i="1" s="1"/>
  <c r="J689" i="1"/>
  <c r="H689" i="1"/>
  <c r="K688" i="1"/>
  <c r="L688" i="1" s="1"/>
  <c r="J688" i="1"/>
  <c r="H688" i="1"/>
  <c r="K687" i="1"/>
  <c r="J687" i="1"/>
  <c r="H687" i="1"/>
  <c r="K686" i="1"/>
  <c r="L686" i="1" s="1"/>
  <c r="J686" i="1"/>
  <c r="H686" i="1"/>
  <c r="K685" i="1"/>
  <c r="J685" i="1"/>
  <c r="L685" i="1" s="1"/>
  <c r="H685" i="1"/>
  <c r="K684" i="1"/>
  <c r="H684" i="1"/>
  <c r="J684" i="1" s="1"/>
  <c r="L683" i="1"/>
  <c r="K683" i="1"/>
  <c r="J683" i="1"/>
  <c r="H683" i="1"/>
  <c r="K682" i="1"/>
  <c r="J682" i="1"/>
  <c r="L682" i="1" s="1"/>
  <c r="H682" i="1"/>
  <c r="K681" i="1"/>
  <c r="L681" i="1" s="1"/>
  <c r="J681" i="1"/>
  <c r="H681" i="1"/>
  <c r="K680" i="1"/>
  <c r="L680" i="1" s="1"/>
  <c r="J680" i="1"/>
  <c r="H680" i="1"/>
  <c r="K679" i="1"/>
  <c r="L679" i="1" s="1"/>
  <c r="J679" i="1"/>
  <c r="H679" i="1"/>
  <c r="K678" i="1"/>
  <c r="J678" i="1"/>
  <c r="H678" i="1"/>
  <c r="K677" i="1"/>
  <c r="L677" i="1" s="1"/>
  <c r="J677" i="1"/>
  <c r="H677" i="1"/>
  <c r="K676" i="1"/>
  <c r="J676" i="1"/>
  <c r="L676" i="1" s="1"/>
  <c r="H676" i="1"/>
  <c r="K675" i="1"/>
  <c r="J675" i="1"/>
  <c r="H675" i="1"/>
  <c r="L674" i="1"/>
  <c r="K674" i="1"/>
  <c r="J674" i="1"/>
  <c r="H674" i="1"/>
  <c r="L673" i="1"/>
  <c r="K673" i="1"/>
  <c r="J673" i="1"/>
  <c r="H673" i="1"/>
  <c r="K672" i="1"/>
  <c r="L672" i="1" s="1"/>
  <c r="H672" i="1"/>
  <c r="J672" i="1" s="1"/>
  <c r="L671" i="1"/>
  <c r="K671" i="1"/>
  <c r="J671" i="1"/>
  <c r="H671" i="1"/>
  <c r="K670" i="1"/>
  <c r="L670" i="1" s="1"/>
  <c r="J670" i="1"/>
  <c r="H670" i="1"/>
  <c r="K669" i="1"/>
  <c r="J669" i="1"/>
  <c r="H669" i="1"/>
  <c r="L668" i="1"/>
  <c r="K668" i="1"/>
  <c r="J668" i="1"/>
  <c r="H668" i="1"/>
  <c r="K667" i="1"/>
  <c r="L667" i="1" s="1"/>
  <c r="J667" i="1"/>
  <c r="H667" i="1"/>
  <c r="K666" i="1"/>
  <c r="H666" i="1"/>
  <c r="J666" i="1" s="1"/>
  <c r="K665" i="1"/>
  <c r="L665" i="1" s="1"/>
  <c r="J665" i="1"/>
  <c r="H665" i="1"/>
  <c r="K664" i="1"/>
  <c r="J664" i="1"/>
  <c r="H664" i="1"/>
  <c r="K663" i="1"/>
  <c r="L663" i="1" s="1"/>
  <c r="J663" i="1"/>
  <c r="H663" i="1"/>
  <c r="K662" i="1"/>
  <c r="L662" i="1" s="1"/>
  <c r="J662" i="1"/>
  <c r="H662" i="1"/>
  <c r="K661" i="1"/>
  <c r="J661" i="1"/>
  <c r="L661" i="1" s="1"/>
  <c r="H661" i="1"/>
  <c r="K660" i="1"/>
  <c r="H660" i="1"/>
  <c r="J660" i="1" s="1"/>
  <c r="L659" i="1"/>
  <c r="K659" i="1"/>
  <c r="J659" i="1"/>
  <c r="H659" i="1"/>
  <c r="L658" i="1"/>
  <c r="K658" i="1"/>
  <c r="J658" i="1"/>
  <c r="H658" i="1"/>
  <c r="K657" i="1"/>
  <c r="H657" i="1"/>
  <c r="J657" i="1" s="1"/>
  <c r="L656" i="1"/>
  <c r="K656" i="1"/>
  <c r="J656" i="1"/>
  <c r="H656" i="1"/>
  <c r="L655" i="1"/>
  <c r="K655" i="1"/>
  <c r="J655" i="1"/>
  <c r="H655" i="1"/>
  <c r="K654" i="1"/>
  <c r="H654" i="1"/>
  <c r="J654" i="1" s="1"/>
  <c r="K653" i="1"/>
  <c r="L653" i="1" s="1"/>
  <c r="J653" i="1"/>
  <c r="H653" i="1"/>
  <c r="K652" i="1"/>
  <c r="L652" i="1" s="1"/>
  <c r="J652" i="1"/>
  <c r="H652" i="1"/>
  <c r="K651" i="1"/>
  <c r="H651" i="1"/>
  <c r="J651" i="1" s="1"/>
  <c r="L650" i="1"/>
  <c r="K650" i="1"/>
  <c r="J650" i="1"/>
  <c r="H650" i="1"/>
  <c r="K649" i="1"/>
  <c r="J649" i="1"/>
  <c r="H649" i="1"/>
  <c r="K648" i="1"/>
  <c r="H648" i="1"/>
  <c r="J648" i="1" s="1"/>
  <c r="K647" i="1"/>
  <c r="L647" i="1" s="1"/>
  <c r="J647" i="1"/>
  <c r="H647" i="1"/>
  <c r="L646" i="1"/>
  <c r="K646" i="1"/>
  <c r="J646" i="1"/>
  <c r="H646" i="1"/>
  <c r="K645" i="1"/>
  <c r="L645" i="1" s="1"/>
  <c r="J645" i="1"/>
  <c r="H645" i="1"/>
  <c r="K644" i="1"/>
  <c r="L644" i="1" s="1"/>
  <c r="J644" i="1"/>
  <c r="H644" i="1"/>
  <c r="K643" i="1"/>
  <c r="L643" i="1" s="1"/>
  <c r="J643" i="1"/>
  <c r="H643" i="1"/>
  <c r="K642" i="1"/>
  <c r="J642" i="1"/>
  <c r="H642" i="1"/>
  <c r="K641" i="1"/>
  <c r="L641" i="1" s="1"/>
  <c r="J641" i="1"/>
  <c r="H641" i="1"/>
  <c r="K640" i="1"/>
  <c r="L640" i="1" s="1"/>
  <c r="J640" i="1"/>
  <c r="H640" i="1"/>
  <c r="K639" i="1"/>
  <c r="H639" i="1"/>
  <c r="J639" i="1" s="1"/>
  <c r="L638" i="1"/>
  <c r="K638" i="1"/>
  <c r="J638" i="1"/>
  <c r="H638" i="1"/>
  <c r="L637" i="1"/>
  <c r="K637" i="1"/>
  <c r="J637" i="1"/>
  <c r="H637" i="1"/>
  <c r="K636" i="1"/>
  <c r="L636" i="1" s="1"/>
  <c r="J636" i="1"/>
  <c r="H636" i="1"/>
  <c r="L635" i="1"/>
  <c r="K635" i="1"/>
  <c r="J635" i="1"/>
  <c r="H635" i="1"/>
  <c r="K634" i="1"/>
  <c r="J634" i="1"/>
  <c r="H634" i="1"/>
  <c r="K633" i="1"/>
  <c r="J633" i="1"/>
  <c r="H633" i="1"/>
  <c r="K632" i="1"/>
  <c r="L632" i="1" s="1"/>
  <c r="J632" i="1"/>
  <c r="H632" i="1"/>
  <c r="K631" i="1"/>
  <c r="J631" i="1"/>
  <c r="L631" i="1" s="1"/>
  <c r="H631" i="1"/>
  <c r="K630" i="1"/>
  <c r="H630" i="1"/>
  <c r="J630" i="1" s="1"/>
  <c r="L629" i="1"/>
  <c r="K629" i="1"/>
  <c r="J629" i="1"/>
  <c r="H629" i="1"/>
  <c r="K628" i="1"/>
  <c r="J628" i="1"/>
  <c r="H628" i="1"/>
  <c r="K627" i="1"/>
  <c r="H627" i="1"/>
  <c r="J627" i="1" s="1"/>
  <c r="K626" i="1"/>
  <c r="L626" i="1" s="1"/>
  <c r="J626" i="1"/>
  <c r="H626" i="1"/>
  <c r="K625" i="1"/>
  <c r="J625" i="1"/>
  <c r="L625" i="1" s="1"/>
  <c r="H625" i="1"/>
  <c r="K624" i="1"/>
  <c r="L624" i="1" s="1"/>
  <c r="H624" i="1"/>
  <c r="J624" i="1" s="1"/>
  <c r="K623" i="1"/>
  <c r="L623" i="1" s="1"/>
  <c r="J623" i="1"/>
  <c r="H623" i="1"/>
  <c r="L622" i="1"/>
  <c r="K622" i="1"/>
  <c r="J622" i="1"/>
  <c r="H622" i="1"/>
  <c r="K621" i="1"/>
  <c r="J621" i="1"/>
  <c r="H621" i="1"/>
  <c r="L620" i="1"/>
  <c r="K620" i="1"/>
  <c r="J620" i="1"/>
  <c r="H620" i="1"/>
  <c r="L619" i="1"/>
  <c r="K619" i="1"/>
  <c r="J619" i="1"/>
  <c r="H619" i="1"/>
  <c r="K618" i="1"/>
  <c r="L618" i="1" s="1"/>
  <c r="H618" i="1"/>
  <c r="J618" i="1" s="1"/>
  <c r="K617" i="1"/>
  <c r="L617" i="1" s="1"/>
  <c r="J617" i="1"/>
  <c r="H617" i="1"/>
  <c r="K616" i="1"/>
  <c r="L616" i="1" s="1"/>
  <c r="J616" i="1"/>
  <c r="H616" i="1"/>
  <c r="K615" i="1"/>
  <c r="J615" i="1"/>
  <c r="H615" i="1"/>
  <c r="L614" i="1"/>
  <c r="K614" i="1"/>
  <c r="J614" i="1"/>
  <c r="H614" i="1"/>
  <c r="L613" i="1"/>
  <c r="K613" i="1"/>
  <c r="J613" i="1"/>
  <c r="H613" i="1"/>
  <c r="K612" i="1"/>
  <c r="H612" i="1"/>
  <c r="J612" i="1" s="1"/>
  <c r="L611" i="1"/>
  <c r="K611" i="1"/>
  <c r="J611" i="1"/>
  <c r="H611" i="1"/>
  <c r="K610" i="1"/>
  <c r="L610" i="1" s="1"/>
  <c r="J610" i="1"/>
  <c r="H610" i="1"/>
  <c r="K609" i="1"/>
  <c r="L609" i="1" s="1"/>
  <c r="J609" i="1"/>
  <c r="H609" i="1"/>
  <c r="K608" i="1"/>
  <c r="L608" i="1" s="1"/>
  <c r="J608" i="1"/>
  <c r="H608" i="1"/>
  <c r="K607" i="1"/>
  <c r="L607" i="1" s="1"/>
  <c r="J607" i="1"/>
  <c r="H607" i="1"/>
  <c r="K606" i="1"/>
  <c r="L606" i="1" s="1"/>
  <c r="J606" i="1"/>
  <c r="H606" i="1"/>
  <c r="K605" i="1"/>
  <c r="L605" i="1" s="1"/>
  <c r="J605" i="1"/>
  <c r="H605" i="1"/>
  <c r="K604" i="1"/>
  <c r="L604" i="1" s="1"/>
  <c r="J604" i="1"/>
  <c r="H604" i="1"/>
  <c r="K603" i="1"/>
  <c r="H603" i="1"/>
  <c r="J603" i="1" s="1"/>
  <c r="L602" i="1"/>
  <c r="K602" i="1"/>
  <c r="J602" i="1"/>
  <c r="H602" i="1"/>
  <c r="L601" i="1"/>
  <c r="K601" i="1"/>
  <c r="J601" i="1"/>
  <c r="H601" i="1"/>
  <c r="K600" i="1"/>
  <c r="J600" i="1"/>
  <c r="H600" i="1"/>
  <c r="L599" i="1"/>
  <c r="K599" i="1"/>
  <c r="J599" i="1"/>
  <c r="H599" i="1"/>
  <c r="K598" i="1"/>
  <c r="L598" i="1" s="1"/>
  <c r="J598" i="1"/>
  <c r="H598" i="1"/>
  <c r="K597" i="1"/>
  <c r="H597" i="1"/>
  <c r="J597" i="1" s="1"/>
  <c r="K596" i="1"/>
  <c r="L596" i="1" s="1"/>
  <c r="J596" i="1"/>
  <c r="H596" i="1"/>
  <c r="K595" i="1"/>
  <c r="L595" i="1" s="1"/>
  <c r="J595" i="1"/>
  <c r="H595" i="1"/>
  <c r="K594" i="1"/>
  <c r="L594" i="1" s="1"/>
  <c r="H594" i="1"/>
  <c r="J594" i="1" s="1"/>
  <c r="K593" i="1"/>
  <c r="L593" i="1" s="1"/>
  <c r="J593" i="1"/>
  <c r="H593" i="1"/>
  <c r="K592" i="1"/>
  <c r="L592" i="1" s="1"/>
  <c r="J592" i="1"/>
  <c r="H592" i="1"/>
  <c r="K591" i="1"/>
  <c r="H591" i="1"/>
  <c r="J591" i="1" s="1"/>
  <c r="K590" i="1"/>
  <c r="L590" i="1" s="1"/>
  <c r="J590" i="1"/>
  <c r="H590" i="1"/>
  <c r="K589" i="1"/>
  <c r="J589" i="1"/>
  <c r="L589" i="1" s="1"/>
  <c r="H589" i="1"/>
  <c r="K588" i="1"/>
  <c r="H588" i="1"/>
  <c r="J588" i="1" s="1"/>
  <c r="K587" i="1"/>
  <c r="L587" i="1" s="1"/>
  <c r="J587" i="1"/>
  <c r="H587" i="1"/>
  <c r="L586" i="1"/>
  <c r="K586" i="1"/>
  <c r="J586" i="1"/>
  <c r="H586" i="1"/>
  <c r="K585" i="1"/>
  <c r="H585" i="1"/>
  <c r="J585" i="1" s="1"/>
  <c r="L584" i="1"/>
  <c r="K584" i="1"/>
  <c r="J584" i="1"/>
  <c r="H584" i="1"/>
  <c r="K583" i="1"/>
  <c r="L583" i="1" s="1"/>
  <c r="J583" i="1"/>
  <c r="H583" i="1"/>
  <c r="K582" i="1"/>
  <c r="L582" i="1" s="1"/>
  <c r="J582" i="1"/>
  <c r="H582" i="1"/>
  <c r="K581" i="1"/>
  <c r="L581" i="1" s="1"/>
  <c r="J581" i="1"/>
  <c r="H581" i="1"/>
  <c r="K580" i="1"/>
  <c r="J580" i="1"/>
  <c r="H580" i="1"/>
  <c r="K579" i="1"/>
  <c r="J579" i="1"/>
  <c r="H579" i="1"/>
  <c r="K578" i="1"/>
  <c r="L578" i="1" s="1"/>
  <c r="J578" i="1"/>
  <c r="H578" i="1"/>
  <c r="K577" i="1"/>
  <c r="J577" i="1"/>
  <c r="L577" i="1" s="1"/>
  <c r="H577" i="1"/>
  <c r="K576" i="1"/>
  <c r="H576" i="1"/>
  <c r="J576" i="1" s="1"/>
  <c r="L575" i="1"/>
  <c r="K575" i="1"/>
  <c r="J575" i="1"/>
  <c r="H575" i="1"/>
  <c r="K574" i="1"/>
  <c r="L574" i="1" s="1"/>
  <c r="J574" i="1"/>
  <c r="H574" i="1"/>
  <c r="K573" i="1"/>
  <c r="L573" i="1" s="1"/>
  <c r="J573" i="1"/>
  <c r="H573" i="1"/>
  <c r="K572" i="1"/>
  <c r="L572" i="1" s="1"/>
  <c r="J572" i="1"/>
  <c r="H572" i="1"/>
  <c r="K571" i="1"/>
  <c r="L571" i="1" s="1"/>
  <c r="J571" i="1"/>
  <c r="H571" i="1"/>
  <c r="K570" i="1"/>
  <c r="J570" i="1"/>
  <c r="H570" i="1"/>
  <c r="K569" i="1"/>
  <c r="L569" i="1" s="1"/>
  <c r="J569" i="1"/>
  <c r="H569" i="1"/>
  <c r="K568" i="1"/>
  <c r="J568" i="1"/>
  <c r="L568" i="1" s="1"/>
  <c r="H568" i="1"/>
  <c r="K567" i="1"/>
  <c r="L567" i="1" s="1"/>
  <c r="J567" i="1"/>
  <c r="H567" i="1"/>
  <c r="L566" i="1"/>
  <c r="K566" i="1"/>
  <c r="J566" i="1"/>
  <c r="H566" i="1"/>
  <c r="L565" i="1"/>
  <c r="K565" i="1"/>
  <c r="J565" i="1"/>
  <c r="H565" i="1"/>
  <c r="K564" i="1"/>
  <c r="J564" i="1"/>
  <c r="H564" i="1"/>
  <c r="L563" i="1"/>
  <c r="K563" i="1"/>
  <c r="J563" i="1"/>
  <c r="H563" i="1"/>
  <c r="K562" i="1"/>
  <c r="L562" i="1" s="1"/>
  <c r="J562" i="1"/>
  <c r="H562" i="1"/>
  <c r="K561" i="1"/>
  <c r="H561" i="1"/>
  <c r="J561" i="1" s="1"/>
  <c r="L560" i="1"/>
  <c r="K560" i="1"/>
  <c r="J560" i="1"/>
  <c r="H560" i="1"/>
  <c r="K559" i="1"/>
  <c r="L559" i="1" s="1"/>
  <c r="J559" i="1"/>
  <c r="H559" i="1"/>
  <c r="K558" i="1"/>
  <c r="H558" i="1"/>
  <c r="J558" i="1" s="1"/>
  <c r="K557" i="1"/>
  <c r="L557" i="1" s="1"/>
  <c r="J557" i="1"/>
  <c r="H557" i="1"/>
  <c r="K556" i="1"/>
  <c r="J556" i="1"/>
  <c r="H556" i="1"/>
  <c r="K555" i="1"/>
  <c r="L555" i="1" s="1"/>
  <c r="J555" i="1"/>
  <c r="H555" i="1"/>
  <c r="K554" i="1"/>
  <c r="L554" i="1" s="1"/>
  <c r="J554" i="1"/>
  <c r="H554" i="1"/>
  <c r="K553" i="1"/>
  <c r="J553" i="1"/>
  <c r="L553" i="1" s="1"/>
  <c r="H553" i="1"/>
  <c r="K552" i="1"/>
  <c r="H552" i="1"/>
  <c r="J552" i="1" s="1"/>
  <c r="L551" i="1"/>
  <c r="K551" i="1"/>
  <c r="J551" i="1"/>
  <c r="H551" i="1"/>
  <c r="L550" i="1"/>
  <c r="K550" i="1"/>
  <c r="J550" i="1"/>
  <c r="H550" i="1"/>
  <c r="K549" i="1"/>
  <c r="H549" i="1"/>
  <c r="J549" i="1" s="1"/>
  <c r="L548" i="1"/>
  <c r="K548" i="1"/>
  <c r="J548" i="1"/>
  <c r="H548" i="1"/>
  <c r="K547" i="1"/>
  <c r="L547" i="1" s="1"/>
  <c r="J547" i="1"/>
  <c r="H547" i="1"/>
  <c r="K546" i="1"/>
  <c r="H546" i="1"/>
  <c r="J546" i="1" s="1"/>
  <c r="K545" i="1"/>
  <c r="L545" i="1" s="1"/>
  <c r="J545" i="1"/>
  <c r="H545" i="1"/>
  <c r="K544" i="1"/>
  <c r="J544" i="1"/>
  <c r="H544" i="1"/>
  <c r="K543" i="1"/>
  <c r="J543" i="1"/>
  <c r="H543" i="1"/>
  <c r="K542" i="1"/>
  <c r="L542" i="1" s="1"/>
  <c r="J542" i="1"/>
  <c r="H542" i="1"/>
  <c r="K541" i="1"/>
  <c r="J541" i="1"/>
  <c r="H541" i="1"/>
  <c r="K540" i="1"/>
  <c r="H540" i="1"/>
  <c r="J540" i="1" s="1"/>
  <c r="K539" i="1"/>
  <c r="L539" i="1" s="1"/>
  <c r="J539" i="1"/>
  <c r="H539" i="1"/>
  <c r="L538" i="1"/>
  <c r="K538" i="1"/>
  <c r="J538" i="1"/>
  <c r="H538" i="1"/>
  <c r="K537" i="1"/>
  <c r="L537" i="1" s="1"/>
  <c r="J537" i="1"/>
  <c r="H537" i="1"/>
  <c r="K536" i="1"/>
  <c r="L536" i="1" s="1"/>
  <c r="J536" i="1"/>
  <c r="H536" i="1"/>
  <c r="K535" i="1"/>
  <c r="L535" i="1" s="1"/>
  <c r="J535" i="1"/>
  <c r="H535" i="1"/>
  <c r="K534" i="1"/>
  <c r="J534" i="1"/>
  <c r="H534" i="1"/>
  <c r="K533" i="1"/>
  <c r="L533" i="1" s="1"/>
  <c r="J533" i="1"/>
  <c r="H533" i="1"/>
  <c r="K532" i="1"/>
  <c r="L532" i="1" s="1"/>
  <c r="J532" i="1"/>
  <c r="H532" i="1"/>
  <c r="K531" i="1"/>
  <c r="H531" i="1"/>
  <c r="J531" i="1" s="1"/>
  <c r="L530" i="1"/>
  <c r="K530" i="1"/>
  <c r="J530" i="1"/>
  <c r="H530" i="1"/>
  <c r="K529" i="1"/>
  <c r="L529" i="1" s="1"/>
  <c r="J529" i="1"/>
  <c r="H529" i="1"/>
  <c r="K528" i="1"/>
  <c r="L528" i="1" s="1"/>
  <c r="J528" i="1"/>
  <c r="H528" i="1"/>
  <c r="L527" i="1"/>
  <c r="K527" i="1"/>
  <c r="J527" i="1"/>
  <c r="H527" i="1"/>
  <c r="K526" i="1"/>
  <c r="J526" i="1"/>
  <c r="H526" i="1"/>
  <c r="K525" i="1"/>
  <c r="J525" i="1"/>
  <c r="H525" i="1"/>
  <c r="K524" i="1"/>
  <c r="L524" i="1" s="1"/>
  <c r="J524" i="1"/>
  <c r="H524" i="1"/>
  <c r="L523" i="1"/>
  <c r="K523" i="1"/>
  <c r="J523" i="1"/>
  <c r="H523" i="1"/>
  <c r="K522" i="1"/>
  <c r="H522" i="1"/>
  <c r="J522" i="1" s="1"/>
  <c r="L521" i="1"/>
  <c r="K521" i="1"/>
  <c r="J521" i="1"/>
  <c r="H521" i="1"/>
  <c r="K520" i="1"/>
  <c r="L520" i="1" s="1"/>
  <c r="J520" i="1"/>
  <c r="H520" i="1"/>
  <c r="K519" i="1"/>
  <c r="H519" i="1"/>
  <c r="J519" i="1" s="1"/>
  <c r="K518" i="1"/>
  <c r="L518" i="1" s="1"/>
  <c r="J518" i="1"/>
  <c r="H518" i="1"/>
  <c r="K517" i="1"/>
  <c r="J517" i="1"/>
  <c r="L517" i="1" s="1"/>
  <c r="H517" i="1"/>
  <c r="K516" i="1"/>
  <c r="L516" i="1" s="1"/>
  <c r="H516" i="1"/>
  <c r="J516" i="1" s="1"/>
  <c r="K515" i="1"/>
  <c r="L515" i="1" s="1"/>
  <c r="J515" i="1"/>
  <c r="H515" i="1"/>
  <c r="L514" i="1"/>
  <c r="K514" i="1"/>
  <c r="J514" i="1"/>
  <c r="H514" i="1"/>
  <c r="K513" i="1"/>
  <c r="J513" i="1"/>
  <c r="H513" i="1"/>
  <c r="K512" i="1"/>
  <c r="L512" i="1" s="1"/>
  <c r="J512" i="1"/>
  <c r="H512" i="1"/>
  <c r="L511" i="1"/>
  <c r="K511" i="1"/>
  <c r="J511" i="1"/>
  <c r="H511" i="1"/>
  <c r="K510" i="1"/>
  <c r="H510" i="1"/>
  <c r="J510" i="1" s="1"/>
  <c r="K509" i="1"/>
  <c r="L509" i="1" s="1"/>
  <c r="J509" i="1"/>
  <c r="H509" i="1"/>
  <c r="K508" i="1"/>
  <c r="L508" i="1" s="1"/>
  <c r="J508" i="1"/>
  <c r="H508" i="1"/>
  <c r="K507" i="1"/>
  <c r="H507" i="1"/>
  <c r="J507" i="1" s="1"/>
  <c r="L506" i="1"/>
  <c r="K506" i="1"/>
  <c r="J506" i="1"/>
  <c r="H506" i="1"/>
  <c r="L505" i="1"/>
  <c r="K505" i="1"/>
  <c r="J505" i="1"/>
  <c r="H505" i="1"/>
  <c r="K504" i="1"/>
  <c r="H504" i="1"/>
  <c r="J504" i="1" s="1"/>
  <c r="K503" i="1"/>
  <c r="L503" i="1" s="1"/>
  <c r="J503" i="1"/>
  <c r="H503" i="1"/>
  <c r="K502" i="1"/>
  <c r="L502" i="1" s="1"/>
  <c r="J502" i="1"/>
  <c r="H502" i="1"/>
  <c r="K501" i="1"/>
  <c r="L501" i="1" s="1"/>
  <c r="J501" i="1"/>
  <c r="H501" i="1"/>
  <c r="K500" i="1"/>
  <c r="L500" i="1" s="1"/>
  <c r="J500" i="1"/>
  <c r="H500" i="1"/>
  <c r="K499" i="1"/>
  <c r="J499" i="1"/>
  <c r="H499" i="1"/>
  <c r="K498" i="1"/>
  <c r="J498" i="1"/>
  <c r="H498" i="1"/>
  <c r="K497" i="1"/>
  <c r="L497" i="1" s="1"/>
  <c r="J497" i="1"/>
  <c r="H497" i="1"/>
  <c r="L496" i="1"/>
  <c r="K496" i="1"/>
  <c r="J496" i="1"/>
  <c r="H496" i="1"/>
  <c r="K495" i="1"/>
  <c r="H495" i="1"/>
  <c r="J495" i="1" s="1"/>
  <c r="L494" i="1"/>
  <c r="K494" i="1"/>
  <c r="J494" i="1"/>
  <c r="H494" i="1"/>
  <c r="K493" i="1"/>
  <c r="L493" i="1" s="1"/>
  <c r="J493" i="1"/>
  <c r="H493" i="1"/>
  <c r="K492" i="1"/>
  <c r="J492" i="1"/>
  <c r="H492" i="1"/>
  <c r="L491" i="1"/>
  <c r="K491" i="1"/>
  <c r="J491" i="1"/>
  <c r="H491" i="1"/>
  <c r="K490" i="1"/>
  <c r="J490" i="1"/>
  <c r="H490" i="1"/>
  <c r="K489" i="1"/>
  <c r="H489" i="1"/>
  <c r="J489" i="1" s="1"/>
  <c r="K488" i="1"/>
  <c r="L488" i="1" s="1"/>
  <c r="J488" i="1"/>
  <c r="H488" i="1"/>
  <c r="K487" i="1"/>
  <c r="L487" i="1" s="1"/>
  <c r="J487" i="1"/>
  <c r="H487" i="1"/>
  <c r="K486" i="1"/>
  <c r="H486" i="1"/>
  <c r="J486" i="1" s="1"/>
  <c r="K485" i="1"/>
  <c r="L485" i="1" s="1"/>
  <c r="J485" i="1"/>
  <c r="H485" i="1"/>
  <c r="K484" i="1"/>
  <c r="L484" i="1" s="1"/>
  <c r="J484" i="1"/>
  <c r="H484" i="1"/>
  <c r="K483" i="1"/>
  <c r="J483" i="1"/>
  <c r="H483" i="1"/>
  <c r="K482" i="1"/>
  <c r="L482" i="1" s="1"/>
  <c r="J482" i="1"/>
  <c r="H482" i="1"/>
  <c r="K481" i="1"/>
  <c r="J481" i="1"/>
  <c r="L481" i="1" s="1"/>
  <c r="H481" i="1"/>
  <c r="K480" i="1"/>
  <c r="H480" i="1"/>
  <c r="J480" i="1" s="1"/>
  <c r="K479" i="1"/>
  <c r="L479" i="1" s="1"/>
  <c r="J479" i="1"/>
  <c r="H479" i="1"/>
  <c r="L478" i="1"/>
  <c r="K478" i="1"/>
  <c r="J478" i="1"/>
  <c r="H478" i="1"/>
  <c r="K477" i="1"/>
  <c r="H477" i="1"/>
  <c r="J477" i="1" s="1"/>
  <c r="K476" i="1"/>
  <c r="L476" i="1" s="1"/>
  <c r="J476" i="1"/>
  <c r="H476" i="1"/>
  <c r="L475" i="1"/>
  <c r="K475" i="1"/>
  <c r="J475" i="1"/>
  <c r="H475" i="1"/>
  <c r="K474" i="1"/>
  <c r="L474" i="1" s="1"/>
  <c r="J474" i="1"/>
  <c r="H474" i="1"/>
  <c r="K473" i="1"/>
  <c r="L473" i="1" s="1"/>
  <c r="J473" i="1"/>
  <c r="H473" i="1"/>
  <c r="K472" i="1"/>
  <c r="J472" i="1"/>
  <c r="H472" i="1"/>
  <c r="K471" i="1"/>
  <c r="J471" i="1"/>
  <c r="H471" i="1"/>
  <c r="K470" i="1"/>
  <c r="L470" i="1" s="1"/>
  <c r="J470" i="1"/>
  <c r="H470" i="1"/>
  <c r="K469" i="1"/>
  <c r="J469" i="1"/>
  <c r="L469" i="1" s="1"/>
  <c r="H469" i="1"/>
  <c r="K468" i="1"/>
  <c r="H468" i="1"/>
  <c r="J468" i="1" s="1"/>
  <c r="L467" i="1"/>
  <c r="K467" i="1"/>
  <c r="J467" i="1"/>
  <c r="H467" i="1"/>
  <c r="K466" i="1"/>
  <c r="J466" i="1"/>
  <c r="H466" i="1"/>
  <c r="K465" i="1"/>
  <c r="L465" i="1" s="1"/>
  <c r="J465" i="1"/>
  <c r="H465" i="1"/>
  <c r="K464" i="1"/>
  <c r="L464" i="1" s="1"/>
  <c r="J464" i="1"/>
  <c r="H464" i="1"/>
  <c r="K463" i="1"/>
  <c r="J463" i="1"/>
  <c r="H463" i="1"/>
  <c r="K462" i="1"/>
  <c r="J462" i="1"/>
  <c r="H462" i="1"/>
  <c r="K461" i="1"/>
  <c r="L461" i="1" s="1"/>
  <c r="J461" i="1"/>
  <c r="H461" i="1"/>
  <c r="K460" i="1"/>
  <c r="J460" i="1"/>
  <c r="L460" i="1" s="1"/>
  <c r="H460" i="1"/>
  <c r="K459" i="1"/>
  <c r="J459" i="1"/>
  <c r="H459" i="1"/>
  <c r="L458" i="1"/>
  <c r="K458" i="1"/>
  <c r="J458" i="1"/>
  <c r="H458" i="1"/>
  <c r="L457" i="1"/>
  <c r="K457" i="1"/>
  <c r="J457" i="1"/>
  <c r="H457" i="1"/>
  <c r="K456" i="1"/>
  <c r="H456" i="1"/>
  <c r="J456" i="1" s="1"/>
  <c r="L455" i="1"/>
  <c r="K455" i="1"/>
  <c r="J455" i="1"/>
  <c r="H455" i="1"/>
  <c r="K454" i="1"/>
  <c r="L454" i="1" s="1"/>
  <c r="J454" i="1"/>
  <c r="H454" i="1"/>
  <c r="K453" i="1"/>
  <c r="J453" i="1"/>
  <c r="H453" i="1"/>
  <c r="L452" i="1"/>
  <c r="K452" i="1"/>
  <c r="J452" i="1"/>
  <c r="H452" i="1"/>
  <c r="K451" i="1"/>
  <c r="L451" i="1" s="1"/>
  <c r="J451" i="1"/>
  <c r="H451" i="1"/>
  <c r="K450" i="1"/>
  <c r="H450" i="1"/>
  <c r="J450" i="1" s="1"/>
  <c r="L449" i="1"/>
  <c r="K449" i="1"/>
  <c r="J449" i="1"/>
  <c r="H449" i="1"/>
  <c r="K448" i="1"/>
  <c r="J448" i="1"/>
  <c r="H448" i="1"/>
  <c r="K447" i="1"/>
  <c r="L447" i="1" s="1"/>
  <c r="J447" i="1"/>
  <c r="H447" i="1"/>
  <c r="K446" i="1"/>
  <c r="L446" i="1" s="1"/>
  <c r="J446" i="1"/>
  <c r="H446" i="1"/>
  <c r="K445" i="1"/>
  <c r="J445" i="1"/>
  <c r="L445" i="1" s="1"/>
  <c r="H445" i="1"/>
  <c r="K444" i="1"/>
  <c r="H444" i="1"/>
  <c r="J444" i="1" s="1"/>
  <c r="L443" i="1"/>
  <c r="K443" i="1"/>
  <c r="J443" i="1"/>
  <c r="H443" i="1"/>
  <c r="L442" i="1"/>
  <c r="K442" i="1"/>
  <c r="J442" i="1"/>
  <c r="H442" i="1"/>
  <c r="K441" i="1"/>
  <c r="H441" i="1"/>
  <c r="J441" i="1" s="1"/>
  <c r="L440" i="1"/>
  <c r="K440" i="1"/>
  <c r="J440" i="1"/>
  <c r="H440" i="1"/>
  <c r="K439" i="1"/>
  <c r="L439" i="1" s="1"/>
  <c r="J439" i="1"/>
  <c r="H439" i="1"/>
  <c r="K438" i="1"/>
  <c r="H438" i="1"/>
  <c r="J438" i="1" s="1"/>
  <c r="K437" i="1"/>
  <c r="L437" i="1" s="1"/>
  <c r="J437" i="1"/>
  <c r="H437" i="1"/>
  <c r="K436" i="1"/>
  <c r="L436" i="1" s="1"/>
  <c r="J436" i="1"/>
  <c r="H436" i="1"/>
  <c r="K435" i="1"/>
  <c r="H435" i="1"/>
  <c r="J435" i="1" s="1"/>
  <c r="K434" i="1"/>
  <c r="L434" i="1" s="1"/>
  <c r="J434" i="1"/>
  <c r="H434" i="1"/>
  <c r="K433" i="1"/>
  <c r="J433" i="1"/>
  <c r="H433" i="1"/>
  <c r="K432" i="1"/>
  <c r="H432" i="1"/>
  <c r="J432" i="1" s="1"/>
  <c r="L431" i="1"/>
  <c r="K431" i="1"/>
  <c r="J431" i="1"/>
  <c r="H431" i="1"/>
  <c r="L430" i="1"/>
  <c r="K430" i="1"/>
  <c r="J430" i="1"/>
  <c r="H430" i="1"/>
  <c r="K429" i="1"/>
  <c r="L429" i="1" s="1"/>
  <c r="J429" i="1"/>
  <c r="H429" i="1"/>
  <c r="K428" i="1"/>
  <c r="L428" i="1" s="1"/>
  <c r="J428" i="1"/>
  <c r="H428" i="1"/>
  <c r="K427" i="1"/>
  <c r="L427" i="1" s="1"/>
  <c r="J427" i="1"/>
  <c r="H427" i="1"/>
  <c r="K426" i="1"/>
  <c r="J426" i="1"/>
  <c r="H426" i="1"/>
  <c r="K425" i="1"/>
  <c r="L425" i="1" s="1"/>
  <c r="J425" i="1"/>
  <c r="H425" i="1"/>
  <c r="L424" i="1"/>
  <c r="K424" i="1"/>
  <c r="J424" i="1"/>
  <c r="H424" i="1"/>
  <c r="K423" i="1"/>
  <c r="H423" i="1"/>
  <c r="J423" i="1" s="1"/>
  <c r="L422" i="1"/>
  <c r="K422" i="1"/>
  <c r="J422" i="1"/>
  <c r="H422" i="1"/>
  <c r="K421" i="1"/>
  <c r="L421" i="1" s="1"/>
  <c r="J421" i="1"/>
  <c r="H421" i="1"/>
  <c r="K420" i="1"/>
  <c r="L420" i="1" s="1"/>
  <c r="J420" i="1"/>
  <c r="H420" i="1"/>
  <c r="L419" i="1"/>
  <c r="K419" i="1"/>
  <c r="J419" i="1"/>
  <c r="H419" i="1"/>
  <c r="K418" i="1"/>
  <c r="J418" i="1"/>
  <c r="H418" i="1"/>
  <c r="K417" i="1"/>
  <c r="L417" i="1" s="1"/>
  <c r="J417" i="1"/>
  <c r="H417" i="1"/>
  <c r="K416" i="1"/>
  <c r="L416" i="1" s="1"/>
  <c r="J416" i="1"/>
  <c r="H416" i="1"/>
  <c r="K415" i="1"/>
  <c r="J415" i="1"/>
  <c r="L415" i="1" s="1"/>
  <c r="H415" i="1"/>
  <c r="K414" i="1"/>
  <c r="H414" i="1"/>
  <c r="J414" i="1" s="1"/>
  <c r="L413" i="1"/>
  <c r="K413" i="1"/>
  <c r="J413" i="1"/>
  <c r="H413" i="1"/>
  <c r="K412" i="1"/>
  <c r="J412" i="1"/>
  <c r="H412" i="1"/>
  <c r="K411" i="1"/>
  <c r="H411" i="1"/>
  <c r="J411" i="1" s="1"/>
  <c r="K410" i="1"/>
  <c r="L410" i="1" s="1"/>
  <c r="J410" i="1"/>
  <c r="H410" i="1"/>
  <c r="K409" i="1"/>
  <c r="J409" i="1"/>
  <c r="L409" i="1" s="1"/>
  <c r="H409" i="1"/>
  <c r="K408" i="1"/>
  <c r="H408" i="1"/>
  <c r="J408" i="1" s="1"/>
  <c r="K407" i="1"/>
  <c r="L407" i="1" s="1"/>
  <c r="J407" i="1"/>
  <c r="H407" i="1"/>
  <c r="L406" i="1"/>
  <c r="K406" i="1"/>
  <c r="J406" i="1"/>
  <c r="H406" i="1"/>
  <c r="K405" i="1"/>
  <c r="L405" i="1" s="1"/>
  <c r="J405" i="1"/>
  <c r="H405" i="1"/>
  <c r="K404" i="1"/>
  <c r="L404" i="1" s="1"/>
  <c r="J404" i="1"/>
  <c r="H404" i="1"/>
  <c r="L403" i="1"/>
  <c r="K403" i="1"/>
  <c r="J403" i="1"/>
  <c r="H403" i="1"/>
  <c r="K402" i="1"/>
  <c r="J402" i="1"/>
  <c r="H402" i="1"/>
  <c r="K401" i="1"/>
  <c r="L401" i="1" s="1"/>
  <c r="J401" i="1"/>
  <c r="H401" i="1"/>
  <c r="K400" i="1"/>
  <c r="L400" i="1" s="1"/>
  <c r="J400" i="1"/>
  <c r="H400" i="1"/>
  <c r="K399" i="1"/>
  <c r="H399" i="1"/>
  <c r="J399" i="1" s="1"/>
  <c r="L398" i="1"/>
  <c r="K398" i="1"/>
  <c r="J398" i="1"/>
  <c r="H398" i="1"/>
  <c r="K397" i="1"/>
  <c r="L397" i="1" s="1"/>
  <c r="J397" i="1"/>
  <c r="H397" i="1"/>
  <c r="K396" i="1"/>
  <c r="H396" i="1"/>
  <c r="J396" i="1" s="1"/>
  <c r="K395" i="1"/>
  <c r="L395" i="1" s="1"/>
  <c r="J395" i="1"/>
  <c r="H395" i="1"/>
  <c r="L394" i="1"/>
  <c r="K394" i="1"/>
  <c r="J394" i="1"/>
  <c r="H394" i="1"/>
  <c r="K393" i="1"/>
  <c r="L393" i="1" s="1"/>
  <c r="J393" i="1"/>
  <c r="H393" i="1"/>
  <c r="K392" i="1"/>
  <c r="L392" i="1" s="1"/>
  <c r="J392" i="1"/>
  <c r="H392" i="1"/>
  <c r="K391" i="1"/>
  <c r="J391" i="1"/>
  <c r="H391" i="1"/>
  <c r="K390" i="1"/>
  <c r="J390" i="1"/>
  <c r="H390" i="1"/>
  <c r="K389" i="1"/>
  <c r="L389" i="1" s="1"/>
  <c r="J389" i="1"/>
  <c r="H389" i="1"/>
  <c r="K388" i="1"/>
  <c r="L388" i="1" s="1"/>
  <c r="J388" i="1"/>
  <c r="H388" i="1"/>
  <c r="K387" i="1"/>
  <c r="J387" i="1"/>
  <c r="H387" i="1"/>
  <c r="L386" i="1"/>
  <c r="K386" i="1"/>
  <c r="J386" i="1"/>
  <c r="H386" i="1"/>
  <c r="L385" i="1"/>
  <c r="K385" i="1"/>
  <c r="J385" i="1"/>
  <c r="H385" i="1"/>
  <c r="K384" i="1"/>
  <c r="H384" i="1"/>
  <c r="J384" i="1" s="1"/>
  <c r="L383" i="1"/>
  <c r="K383" i="1"/>
  <c r="J383" i="1"/>
  <c r="H383" i="1"/>
  <c r="K382" i="1"/>
  <c r="J382" i="1"/>
  <c r="H382" i="1"/>
  <c r="K381" i="1"/>
  <c r="H381" i="1"/>
  <c r="J381" i="1" s="1"/>
  <c r="K380" i="1"/>
  <c r="L380" i="1" s="1"/>
  <c r="J380" i="1"/>
  <c r="H380" i="1"/>
  <c r="K379" i="1"/>
  <c r="J379" i="1"/>
  <c r="H379" i="1"/>
  <c r="K378" i="1"/>
  <c r="L378" i="1" s="1"/>
  <c r="H378" i="1"/>
  <c r="J378" i="1" s="1"/>
  <c r="K377" i="1"/>
  <c r="L377" i="1" s="1"/>
  <c r="J377" i="1"/>
  <c r="H377" i="1"/>
  <c r="K376" i="1"/>
  <c r="L376" i="1" s="1"/>
  <c r="J376" i="1"/>
  <c r="H376" i="1"/>
  <c r="K375" i="1"/>
  <c r="H375" i="1"/>
  <c r="J375" i="1" s="1"/>
  <c r="K374" i="1"/>
  <c r="L374" i="1" s="1"/>
  <c r="J374" i="1"/>
  <c r="H374" i="1"/>
  <c r="L373" i="1"/>
  <c r="K373" i="1"/>
  <c r="J373" i="1"/>
  <c r="H373" i="1"/>
  <c r="K372" i="1"/>
  <c r="J372" i="1"/>
  <c r="H372" i="1"/>
  <c r="L371" i="1"/>
  <c r="K371" i="1"/>
  <c r="J371" i="1"/>
  <c r="H371" i="1"/>
  <c r="K370" i="1"/>
  <c r="L370" i="1" s="1"/>
  <c r="J370" i="1"/>
  <c r="H370" i="1"/>
  <c r="K369" i="1"/>
  <c r="H369" i="1"/>
  <c r="J369" i="1" s="1"/>
  <c r="K368" i="1"/>
  <c r="L368" i="1" s="1"/>
  <c r="J368" i="1"/>
  <c r="H368" i="1"/>
  <c r="L367" i="1"/>
  <c r="K367" i="1"/>
  <c r="J367" i="1"/>
  <c r="H367" i="1"/>
  <c r="K366" i="1"/>
  <c r="H366" i="1"/>
  <c r="J366" i="1" s="1"/>
  <c r="L365" i="1"/>
  <c r="K365" i="1"/>
  <c r="J365" i="1"/>
  <c r="H365" i="1"/>
  <c r="L364" i="1"/>
  <c r="K364" i="1"/>
  <c r="J364" i="1"/>
  <c r="H364" i="1"/>
  <c r="K363" i="1"/>
  <c r="J363" i="1"/>
  <c r="H363" i="1"/>
  <c r="K362" i="1"/>
  <c r="L362" i="1" s="1"/>
  <c r="J362" i="1"/>
  <c r="H362" i="1"/>
  <c r="K361" i="1"/>
  <c r="J361" i="1"/>
  <c r="H361" i="1"/>
  <c r="K360" i="1"/>
  <c r="H360" i="1"/>
  <c r="J360" i="1" s="1"/>
  <c r="L359" i="1"/>
  <c r="K359" i="1"/>
  <c r="J359" i="1"/>
  <c r="H359" i="1"/>
  <c r="K358" i="1"/>
  <c r="L358" i="1" s="1"/>
  <c r="J358" i="1"/>
  <c r="H358" i="1"/>
  <c r="K357" i="1"/>
  <c r="L357" i="1" s="1"/>
  <c r="J357" i="1"/>
  <c r="H357" i="1"/>
  <c r="L356" i="1"/>
  <c r="K356" i="1"/>
  <c r="J356" i="1"/>
  <c r="H356" i="1"/>
  <c r="K355" i="1"/>
  <c r="L355" i="1" s="1"/>
  <c r="J355" i="1"/>
  <c r="H355" i="1"/>
  <c r="K354" i="1"/>
  <c r="J354" i="1"/>
  <c r="H354" i="1"/>
  <c r="K353" i="1"/>
  <c r="L353" i="1" s="1"/>
  <c r="J353" i="1"/>
  <c r="H353" i="1"/>
  <c r="K352" i="1"/>
  <c r="J352" i="1"/>
  <c r="H352" i="1"/>
  <c r="K351" i="1"/>
  <c r="H351" i="1"/>
  <c r="J351" i="1" s="1"/>
  <c r="K350" i="1"/>
  <c r="L350" i="1" s="1"/>
  <c r="J350" i="1"/>
  <c r="H350" i="1"/>
  <c r="K349" i="1"/>
  <c r="J349" i="1"/>
  <c r="L349" i="1" s="1"/>
  <c r="H349" i="1"/>
  <c r="K348" i="1"/>
  <c r="J348" i="1"/>
  <c r="H348" i="1"/>
  <c r="K347" i="1"/>
  <c r="L347" i="1" s="1"/>
  <c r="J347" i="1"/>
  <c r="H347" i="1"/>
  <c r="L346" i="1"/>
  <c r="K346" i="1"/>
  <c r="J346" i="1"/>
  <c r="H346" i="1"/>
  <c r="K345" i="1"/>
  <c r="H345" i="1"/>
  <c r="J345" i="1" s="1"/>
  <c r="K344" i="1"/>
  <c r="L344" i="1" s="1"/>
  <c r="J344" i="1"/>
  <c r="H344" i="1"/>
  <c r="L343" i="1"/>
  <c r="K343" i="1"/>
  <c r="J343" i="1"/>
  <c r="H343" i="1"/>
  <c r="K342" i="1"/>
  <c r="L342" i="1" s="1"/>
  <c r="J342" i="1"/>
  <c r="H342" i="1"/>
  <c r="K341" i="1"/>
  <c r="L341" i="1" s="1"/>
  <c r="J341" i="1"/>
  <c r="H341" i="1"/>
  <c r="K340" i="1"/>
  <c r="L340" i="1" s="1"/>
  <c r="J340" i="1"/>
  <c r="H340" i="1"/>
  <c r="K339" i="1"/>
  <c r="J339" i="1"/>
  <c r="H339" i="1"/>
  <c r="K338" i="1"/>
  <c r="L338" i="1" s="1"/>
  <c r="J338" i="1"/>
  <c r="H338" i="1"/>
  <c r="K337" i="1"/>
  <c r="L337" i="1" s="1"/>
  <c r="J337" i="1"/>
  <c r="H337" i="1"/>
  <c r="K336" i="1"/>
  <c r="J336" i="1"/>
  <c r="H336" i="1"/>
  <c r="K335" i="1"/>
  <c r="L335" i="1" s="1"/>
  <c r="J335" i="1"/>
  <c r="H335" i="1"/>
  <c r="K334" i="1"/>
  <c r="L334" i="1" s="1"/>
  <c r="J334" i="1"/>
  <c r="H334" i="1"/>
  <c r="K333" i="1"/>
  <c r="H333" i="1"/>
  <c r="J333" i="1" s="1"/>
  <c r="K332" i="1"/>
  <c r="L332" i="1" s="1"/>
  <c r="J332" i="1"/>
  <c r="H332" i="1"/>
  <c r="K331" i="1"/>
  <c r="L331" i="1" s="1"/>
  <c r="J331" i="1"/>
  <c r="H331" i="1"/>
  <c r="K330" i="1"/>
  <c r="H330" i="1"/>
  <c r="J330" i="1" s="1"/>
  <c r="K329" i="1"/>
  <c r="L329" i="1" s="1"/>
  <c r="J329" i="1"/>
  <c r="H329" i="1"/>
  <c r="L328" i="1"/>
  <c r="K328" i="1"/>
  <c r="J328" i="1"/>
  <c r="H328" i="1"/>
  <c r="K327" i="1"/>
  <c r="H327" i="1"/>
  <c r="J327" i="1" s="1"/>
  <c r="K326" i="1"/>
  <c r="L326" i="1" s="1"/>
  <c r="J326" i="1"/>
  <c r="H326" i="1"/>
  <c r="K325" i="1"/>
  <c r="L325" i="1" s="1"/>
  <c r="J325" i="1"/>
  <c r="H325" i="1"/>
  <c r="K324" i="1"/>
  <c r="J324" i="1"/>
  <c r="H324" i="1"/>
  <c r="K323" i="1"/>
  <c r="L323" i="1" s="1"/>
  <c r="J323" i="1"/>
  <c r="H323" i="1"/>
  <c r="K322" i="1"/>
  <c r="L322" i="1" s="1"/>
  <c r="J322" i="1"/>
  <c r="H322" i="1"/>
  <c r="K321" i="1"/>
  <c r="J321" i="1"/>
  <c r="H321" i="1"/>
  <c r="K320" i="1"/>
  <c r="L320" i="1" s="1"/>
  <c r="J320" i="1"/>
  <c r="H320" i="1"/>
  <c r="K319" i="1"/>
  <c r="L319" i="1" s="1"/>
  <c r="J319" i="1"/>
  <c r="H319" i="1"/>
  <c r="K318" i="1"/>
  <c r="H318" i="1"/>
  <c r="J318" i="1" s="1"/>
  <c r="K317" i="1"/>
  <c r="L317" i="1" s="1"/>
  <c r="J317" i="1"/>
  <c r="H317" i="1"/>
  <c r="K316" i="1"/>
  <c r="L316" i="1" s="1"/>
  <c r="J316" i="1"/>
  <c r="H316" i="1"/>
  <c r="K315" i="1"/>
  <c r="H315" i="1"/>
  <c r="J315" i="1" s="1"/>
  <c r="K314" i="1"/>
  <c r="L314" i="1" s="1"/>
  <c r="J314" i="1"/>
  <c r="H314" i="1"/>
  <c r="K313" i="1"/>
  <c r="L313" i="1" s="1"/>
  <c r="J313" i="1"/>
  <c r="H313" i="1"/>
  <c r="K312" i="1"/>
  <c r="J312" i="1"/>
  <c r="H312" i="1"/>
  <c r="K311" i="1"/>
  <c r="L311" i="1" s="1"/>
  <c r="J311" i="1"/>
  <c r="H311" i="1"/>
  <c r="K310" i="1"/>
  <c r="L310" i="1" s="1"/>
  <c r="J310" i="1"/>
  <c r="H310" i="1"/>
  <c r="K309" i="1"/>
  <c r="H309" i="1"/>
  <c r="J309" i="1" s="1"/>
  <c r="K308" i="1"/>
  <c r="L308" i="1" s="1"/>
  <c r="J308" i="1"/>
  <c r="H308" i="1"/>
  <c r="K307" i="1"/>
  <c r="L307" i="1" s="1"/>
  <c r="J307" i="1"/>
  <c r="H307" i="1"/>
  <c r="K306" i="1"/>
  <c r="J306" i="1"/>
  <c r="H306" i="1"/>
  <c r="K305" i="1"/>
  <c r="L305" i="1" s="1"/>
  <c r="J305" i="1"/>
  <c r="H305" i="1"/>
  <c r="L304" i="1"/>
  <c r="K304" i="1"/>
  <c r="J304" i="1"/>
  <c r="H304" i="1"/>
  <c r="K303" i="1"/>
  <c r="H303" i="1"/>
  <c r="J303" i="1" s="1"/>
  <c r="K302" i="1"/>
  <c r="L302" i="1" s="1"/>
  <c r="J302" i="1"/>
  <c r="H302" i="1"/>
  <c r="K301" i="1"/>
  <c r="L301" i="1" s="1"/>
  <c r="J301" i="1"/>
  <c r="H301" i="1"/>
  <c r="K300" i="1"/>
  <c r="H300" i="1"/>
  <c r="J300" i="1" s="1"/>
  <c r="K299" i="1"/>
  <c r="L299" i="1" s="1"/>
  <c r="J299" i="1"/>
  <c r="H299" i="1"/>
  <c r="K298" i="1"/>
  <c r="L298" i="1" s="1"/>
  <c r="J298" i="1"/>
  <c r="H298" i="1"/>
  <c r="K297" i="1"/>
  <c r="J297" i="1"/>
  <c r="H297" i="1"/>
  <c r="K296" i="1"/>
  <c r="L296" i="1" s="1"/>
  <c r="J296" i="1"/>
  <c r="H296" i="1"/>
  <c r="K295" i="1"/>
  <c r="L295" i="1" s="1"/>
  <c r="J295" i="1"/>
  <c r="H295" i="1"/>
  <c r="K294" i="1"/>
  <c r="H294" i="1"/>
  <c r="J294" i="1" s="1"/>
  <c r="K293" i="1"/>
  <c r="L293" i="1" s="1"/>
  <c r="J293" i="1"/>
  <c r="H293" i="1"/>
  <c r="K292" i="1"/>
  <c r="L292" i="1" s="1"/>
  <c r="J292" i="1"/>
  <c r="H292" i="1"/>
  <c r="K291" i="1"/>
  <c r="H291" i="1"/>
  <c r="J291" i="1" s="1"/>
  <c r="K290" i="1"/>
  <c r="L290" i="1" s="1"/>
  <c r="J290" i="1"/>
  <c r="H290" i="1"/>
  <c r="L289" i="1"/>
  <c r="K289" i="1"/>
  <c r="J289" i="1"/>
  <c r="H289" i="1"/>
  <c r="K288" i="1"/>
  <c r="J288" i="1"/>
  <c r="H288" i="1"/>
  <c r="K287" i="1"/>
  <c r="L287" i="1" s="1"/>
  <c r="J287" i="1"/>
  <c r="H287" i="1"/>
  <c r="K286" i="1"/>
  <c r="L286" i="1" s="1"/>
  <c r="J286" i="1"/>
  <c r="H286" i="1"/>
  <c r="K285" i="1"/>
  <c r="H285" i="1"/>
  <c r="J285" i="1" s="1"/>
  <c r="K284" i="1"/>
  <c r="L284" i="1" s="1"/>
  <c r="J284" i="1"/>
  <c r="H284" i="1"/>
  <c r="K283" i="1"/>
  <c r="L283" i="1" s="1"/>
  <c r="J283" i="1"/>
  <c r="H283" i="1"/>
  <c r="K282" i="1"/>
  <c r="J282" i="1"/>
  <c r="H282" i="1"/>
  <c r="K281" i="1"/>
  <c r="L281" i="1" s="1"/>
  <c r="J281" i="1"/>
  <c r="H281" i="1"/>
  <c r="K280" i="1"/>
  <c r="L280" i="1" s="1"/>
  <c r="J280" i="1"/>
  <c r="H280" i="1"/>
  <c r="K279" i="1"/>
  <c r="J279" i="1"/>
  <c r="H279" i="1"/>
  <c r="K278" i="1"/>
  <c r="L278" i="1" s="1"/>
  <c r="J278" i="1"/>
  <c r="H278" i="1"/>
  <c r="L277" i="1"/>
  <c r="K277" i="1"/>
  <c r="J277" i="1"/>
  <c r="H277" i="1"/>
  <c r="K276" i="1"/>
  <c r="H276" i="1"/>
  <c r="J276" i="1" s="1"/>
  <c r="K275" i="1"/>
  <c r="L275" i="1" s="1"/>
  <c r="J275" i="1"/>
  <c r="H275" i="1"/>
  <c r="L274" i="1"/>
  <c r="K274" i="1"/>
  <c r="J274" i="1"/>
  <c r="H274" i="1"/>
  <c r="K273" i="1"/>
  <c r="H273" i="1"/>
  <c r="J273" i="1" s="1"/>
  <c r="K272" i="1"/>
  <c r="L272" i="1" s="1"/>
  <c r="J272" i="1"/>
  <c r="H272" i="1"/>
  <c r="L271" i="1"/>
  <c r="K271" i="1"/>
  <c r="J271" i="1"/>
  <c r="H271" i="1"/>
  <c r="K270" i="1"/>
  <c r="L270" i="1" s="1"/>
  <c r="J270" i="1"/>
  <c r="H270" i="1"/>
  <c r="K269" i="1"/>
  <c r="L269" i="1" s="1"/>
  <c r="J269" i="1"/>
  <c r="H269" i="1"/>
  <c r="K268" i="1"/>
  <c r="L268" i="1" s="1"/>
  <c r="J268" i="1"/>
  <c r="H268" i="1"/>
  <c r="K267" i="1"/>
  <c r="J267" i="1"/>
  <c r="H267" i="1"/>
  <c r="K266" i="1"/>
  <c r="L266" i="1" s="1"/>
  <c r="J266" i="1"/>
  <c r="H266" i="1"/>
  <c r="K265" i="1"/>
  <c r="L265" i="1" s="1"/>
  <c r="J265" i="1"/>
  <c r="H265" i="1"/>
  <c r="K264" i="1"/>
  <c r="J264" i="1"/>
  <c r="H264" i="1"/>
  <c r="K263" i="1"/>
  <c r="L263" i="1" s="1"/>
  <c r="J263" i="1"/>
  <c r="H263" i="1"/>
  <c r="K262" i="1"/>
  <c r="L262" i="1" s="1"/>
  <c r="J262" i="1"/>
  <c r="H262" i="1"/>
  <c r="K261" i="1"/>
  <c r="H261" i="1"/>
  <c r="J261" i="1" s="1"/>
  <c r="K260" i="1"/>
  <c r="L260" i="1" s="1"/>
  <c r="J260" i="1"/>
  <c r="H260" i="1"/>
  <c r="K259" i="1"/>
  <c r="L259" i="1" s="1"/>
  <c r="J259" i="1"/>
  <c r="H259" i="1"/>
  <c r="K258" i="1"/>
  <c r="H258" i="1"/>
  <c r="J258" i="1" s="1"/>
  <c r="K257" i="1"/>
  <c r="L257" i="1" s="1"/>
  <c r="J257" i="1"/>
  <c r="H257" i="1"/>
  <c r="L256" i="1"/>
  <c r="K256" i="1"/>
  <c r="J256" i="1"/>
  <c r="H256" i="1"/>
  <c r="K255" i="1"/>
  <c r="H255" i="1"/>
  <c r="J255" i="1" s="1"/>
  <c r="K254" i="1"/>
  <c r="L254" i="1" s="1"/>
  <c r="J254" i="1"/>
  <c r="H254" i="1"/>
  <c r="K253" i="1"/>
  <c r="L253" i="1" s="1"/>
  <c r="J253" i="1"/>
  <c r="H253" i="1"/>
  <c r="K252" i="1"/>
  <c r="J252" i="1"/>
  <c r="H252" i="1"/>
  <c r="K251" i="1"/>
  <c r="L251" i="1" s="1"/>
  <c r="J251" i="1"/>
  <c r="H251" i="1"/>
  <c r="K250" i="1"/>
  <c r="L250" i="1" s="1"/>
  <c r="J250" i="1"/>
  <c r="H250" i="1"/>
  <c r="K249" i="1"/>
  <c r="J249" i="1"/>
  <c r="H249" i="1"/>
  <c r="K248" i="1"/>
  <c r="L248" i="1" s="1"/>
  <c r="J248" i="1"/>
  <c r="H248" i="1"/>
  <c r="K247" i="1"/>
  <c r="L247" i="1" s="1"/>
  <c r="J247" i="1"/>
  <c r="H247" i="1"/>
  <c r="K246" i="1"/>
  <c r="H246" i="1"/>
  <c r="J246" i="1" s="1"/>
  <c r="K245" i="1"/>
  <c r="L245" i="1" s="1"/>
  <c r="J245" i="1"/>
  <c r="H245" i="1"/>
  <c r="K244" i="1"/>
  <c r="L244" i="1" s="1"/>
  <c r="J244" i="1"/>
  <c r="H244" i="1"/>
  <c r="K243" i="1"/>
  <c r="H243" i="1"/>
  <c r="J243" i="1" s="1"/>
  <c r="K242" i="1"/>
  <c r="L242" i="1" s="1"/>
  <c r="J242" i="1"/>
  <c r="H242" i="1"/>
  <c r="K241" i="1"/>
  <c r="L241" i="1" s="1"/>
  <c r="J241" i="1"/>
  <c r="H241" i="1"/>
  <c r="K240" i="1"/>
  <c r="J240" i="1"/>
  <c r="H240" i="1"/>
  <c r="K239" i="1"/>
  <c r="L239" i="1" s="1"/>
  <c r="J239" i="1"/>
  <c r="H239" i="1"/>
  <c r="K238" i="1"/>
  <c r="L238" i="1" s="1"/>
  <c r="J238" i="1"/>
  <c r="H238" i="1"/>
  <c r="K237" i="1"/>
  <c r="H237" i="1"/>
  <c r="J237" i="1" s="1"/>
  <c r="K236" i="1"/>
  <c r="L236" i="1" s="1"/>
  <c r="J236" i="1"/>
  <c r="H236" i="1"/>
  <c r="K235" i="1"/>
  <c r="L235" i="1" s="1"/>
  <c r="J235" i="1"/>
  <c r="H235" i="1"/>
  <c r="K234" i="1"/>
  <c r="J234" i="1"/>
  <c r="H234" i="1"/>
  <c r="K233" i="1"/>
  <c r="L233" i="1" s="1"/>
  <c r="J233" i="1"/>
  <c r="H233" i="1"/>
  <c r="L232" i="1"/>
  <c r="K232" i="1"/>
  <c r="J232" i="1"/>
  <c r="H232" i="1"/>
  <c r="K231" i="1"/>
  <c r="H231" i="1"/>
  <c r="J231" i="1" s="1"/>
  <c r="K230" i="1"/>
  <c r="L230" i="1" s="1"/>
  <c r="J230" i="1"/>
  <c r="H230" i="1"/>
  <c r="K229" i="1"/>
  <c r="L229" i="1" s="1"/>
  <c r="J229" i="1"/>
  <c r="H229" i="1"/>
  <c r="K228" i="1"/>
  <c r="H228" i="1"/>
  <c r="J228" i="1" s="1"/>
  <c r="K227" i="1"/>
  <c r="L227" i="1" s="1"/>
  <c r="J227" i="1"/>
  <c r="H227" i="1"/>
  <c r="K226" i="1"/>
  <c r="L226" i="1" s="1"/>
  <c r="J226" i="1"/>
  <c r="H226" i="1"/>
  <c r="K225" i="1"/>
  <c r="J225" i="1"/>
  <c r="H225" i="1"/>
  <c r="K224" i="1"/>
  <c r="L224" i="1" s="1"/>
  <c r="J224" i="1"/>
  <c r="H224" i="1"/>
  <c r="K223" i="1"/>
  <c r="L223" i="1" s="1"/>
  <c r="J223" i="1"/>
  <c r="H223" i="1"/>
  <c r="K222" i="1"/>
  <c r="H222" i="1"/>
  <c r="J222" i="1" s="1"/>
  <c r="K221" i="1"/>
  <c r="L221" i="1" s="1"/>
  <c r="J221" i="1"/>
  <c r="H221" i="1"/>
  <c r="K220" i="1"/>
  <c r="L220" i="1" s="1"/>
  <c r="J220" i="1"/>
  <c r="H220" i="1"/>
  <c r="K219" i="1"/>
  <c r="H219" i="1"/>
  <c r="J219" i="1" s="1"/>
  <c r="K218" i="1"/>
  <c r="L218" i="1" s="1"/>
  <c r="J218" i="1"/>
  <c r="H218" i="1"/>
  <c r="L217" i="1"/>
  <c r="K217" i="1"/>
  <c r="J217" i="1"/>
  <c r="H217" i="1"/>
  <c r="K216" i="1"/>
  <c r="J216" i="1"/>
  <c r="H216" i="1"/>
  <c r="K215" i="1"/>
  <c r="L215" i="1" s="1"/>
  <c r="J215" i="1"/>
  <c r="H215" i="1"/>
  <c r="K214" i="1"/>
  <c r="L214" i="1" s="1"/>
  <c r="J214" i="1"/>
  <c r="H214" i="1"/>
  <c r="K213" i="1"/>
  <c r="H213" i="1"/>
  <c r="J213" i="1" s="1"/>
  <c r="K212" i="1"/>
  <c r="L212" i="1" s="1"/>
  <c r="J212" i="1"/>
  <c r="H212" i="1"/>
  <c r="K211" i="1"/>
  <c r="L211" i="1" s="1"/>
  <c r="J211" i="1"/>
  <c r="H211" i="1"/>
  <c r="K210" i="1"/>
  <c r="J210" i="1"/>
  <c r="H210" i="1"/>
  <c r="K209" i="1"/>
  <c r="L209" i="1" s="1"/>
  <c r="J209" i="1"/>
  <c r="H209" i="1"/>
  <c r="K208" i="1"/>
  <c r="L208" i="1" s="1"/>
  <c r="J208" i="1"/>
  <c r="H208" i="1"/>
  <c r="K207" i="1"/>
  <c r="J207" i="1"/>
  <c r="H207" i="1"/>
  <c r="K206" i="1"/>
  <c r="L206" i="1" s="1"/>
  <c r="J206" i="1"/>
  <c r="H206" i="1"/>
  <c r="L205" i="1"/>
  <c r="K205" i="1"/>
  <c r="J205" i="1"/>
  <c r="H205" i="1"/>
  <c r="K204" i="1"/>
  <c r="H204" i="1"/>
  <c r="J204" i="1" s="1"/>
  <c r="K203" i="1"/>
  <c r="L203" i="1" s="1"/>
  <c r="J203" i="1"/>
  <c r="H203" i="1"/>
  <c r="L202" i="1"/>
  <c r="K202" i="1"/>
  <c r="J202" i="1"/>
  <c r="H202" i="1"/>
  <c r="K201" i="1"/>
  <c r="H201" i="1"/>
  <c r="J201" i="1" s="1"/>
  <c r="K200" i="1"/>
  <c r="L200" i="1" s="1"/>
  <c r="J200" i="1"/>
  <c r="H200" i="1"/>
  <c r="L199" i="1"/>
  <c r="K199" i="1"/>
  <c r="J199" i="1"/>
  <c r="H199" i="1"/>
  <c r="K198" i="1"/>
  <c r="L198" i="1" s="1"/>
  <c r="J198" i="1"/>
  <c r="H198" i="1"/>
  <c r="K197" i="1"/>
  <c r="L197" i="1" s="1"/>
  <c r="J197" i="1"/>
  <c r="H197" i="1"/>
  <c r="K196" i="1"/>
  <c r="L196" i="1" s="1"/>
  <c r="J196" i="1"/>
  <c r="H196" i="1"/>
  <c r="K195" i="1"/>
  <c r="J195" i="1"/>
  <c r="H195" i="1"/>
  <c r="K194" i="1"/>
  <c r="L194" i="1" s="1"/>
  <c r="J194" i="1"/>
  <c r="H194" i="1"/>
  <c r="K193" i="1"/>
  <c r="L193" i="1" s="1"/>
  <c r="J193" i="1"/>
  <c r="H193" i="1"/>
  <c r="K192" i="1"/>
  <c r="J192" i="1"/>
  <c r="H192" i="1"/>
  <c r="K191" i="1"/>
  <c r="L191" i="1" s="1"/>
  <c r="J191" i="1"/>
  <c r="H191" i="1"/>
  <c r="K190" i="1"/>
  <c r="L190" i="1" s="1"/>
  <c r="J190" i="1"/>
  <c r="H190" i="1"/>
  <c r="K189" i="1"/>
  <c r="H189" i="1"/>
  <c r="J189" i="1" s="1"/>
  <c r="K188" i="1"/>
  <c r="L188" i="1" s="1"/>
  <c r="J188" i="1"/>
  <c r="H188" i="1"/>
  <c r="K187" i="1"/>
  <c r="L187" i="1" s="1"/>
  <c r="J187" i="1"/>
  <c r="H187" i="1"/>
  <c r="K186" i="1"/>
  <c r="H186" i="1"/>
  <c r="J186" i="1" s="1"/>
  <c r="K185" i="1"/>
  <c r="L185" i="1" s="1"/>
  <c r="J185" i="1"/>
  <c r="H185" i="1"/>
  <c r="L184" i="1"/>
  <c r="K184" i="1"/>
  <c r="J184" i="1"/>
  <c r="H184" i="1"/>
  <c r="K183" i="1"/>
  <c r="H183" i="1"/>
  <c r="J183" i="1" s="1"/>
  <c r="K182" i="1"/>
  <c r="L182" i="1" s="1"/>
  <c r="J182" i="1"/>
  <c r="H182" i="1"/>
  <c r="K181" i="1"/>
  <c r="L181" i="1" s="1"/>
  <c r="J181" i="1"/>
  <c r="H181" i="1"/>
  <c r="K180" i="1"/>
  <c r="J180" i="1"/>
  <c r="H180" i="1"/>
  <c r="K179" i="1"/>
  <c r="L179" i="1" s="1"/>
  <c r="J179" i="1"/>
  <c r="H179" i="1"/>
  <c r="K178" i="1"/>
  <c r="L178" i="1" s="1"/>
  <c r="J178" i="1"/>
  <c r="H178" i="1"/>
  <c r="K177" i="1"/>
  <c r="J177" i="1"/>
  <c r="H177" i="1"/>
  <c r="K176" i="1"/>
  <c r="L176" i="1" s="1"/>
  <c r="J176" i="1"/>
  <c r="H176" i="1"/>
  <c r="K175" i="1"/>
  <c r="L175" i="1" s="1"/>
  <c r="J175" i="1"/>
  <c r="H175" i="1"/>
  <c r="K174" i="1"/>
  <c r="H174" i="1"/>
  <c r="J174" i="1" s="1"/>
  <c r="K173" i="1"/>
  <c r="L173" i="1" s="1"/>
  <c r="J173" i="1"/>
  <c r="H173" i="1"/>
  <c r="K172" i="1"/>
  <c r="L172" i="1" s="1"/>
  <c r="J172" i="1"/>
  <c r="H172" i="1"/>
  <c r="K171" i="1"/>
  <c r="H171" i="1"/>
  <c r="J171" i="1" s="1"/>
  <c r="K170" i="1"/>
  <c r="L170" i="1" s="1"/>
  <c r="J170" i="1"/>
  <c r="H170" i="1"/>
  <c r="K169" i="1"/>
  <c r="L169" i="1" s="1"/>
  <c r="J169" i="1"/>
  <c r="H169" i="1"/>
  <c r="K168" i="1"/>
  <c r="J168" i="1"/>
  <c r="H168" i="1"/>
  <c r="K167" i="1"/>
  <c r="L167" i="1" s="1"/>
  <c r="J167" i="1"/>
  <c r="H167" i="1"/>
  <c r="K166" i="1"/>
  <c r="L166" i="1" s="1"/>
  <c r="J166" i="1"/>
  <c r="H166" i="1"/>
  <c r="K165" i="1"/>
  <c r="H165" i="1"/>
  <c r="J165" i="1" s="1"/>
  <c r="K164" i="1"/>
  <c r="L164" i="1" s="1"/>
  <c r="J164" i="1"/>
  <c r="H164" i="1"/>
  <c r="K163" i="1"/>
  <c r="L163" i="1" s="1"/>
  <c r="J163" i="1"/>
  <c r="H163" i="1"/>
  <c r="K162" i="1"/>
  <c r="J162" i="1"/>
  <c r="H162" i="1"/>
  <c r="K161" i="1"/>
  <c r="L161" i="1" s="1"/>
  <c r="J161" i="1"/>
  <c r="H161" i="1"/>
  <c r="L160" i="1"/>
  <c r="K160" i="1"/>
  <c r="J160" i="1"/>
  <c r="H160" i="1"/>
  <c r="K159" i="1"/>
  <c r="H159" i="1"/>
  <c r="J159" i="1" s="1"/>
  <c r="K158" i="1"/>
  <c r="L158" i="1" s="1"/>
  <c r="J158" i="1"/>
  <c r="H158" i="1"/>
  <c r="K157" i="1"/>
  <c r="L157" i="1" s="1"/>
  <c r="J157" i="1"/>
  <c r="H157" i="1"/>
  <c r="K156" i="1"/>
  <c r="H156" i="1"/>
  <c r="J156" i="1" s="1"/>
  <c r="K155" i="1"/>
  <c r="L155" i="1" s="1"/>
  <c r="J155" i="1"/>
  <c r="H155" i="1"/>
  <c r="K154" i="1"/>
  <c r="L154" i="1" s="1"/>
  <c r="J154" i="1"/>
  <c r="H154" i="1"/>
  <c r="K153" i="1"/>
  <c r="J153" i="1"/>
  <c r="H153" i="1"/>
  <c r="K152" i="1"/>
  <c r="L152" i="1" s="1"/>
  <c r="J152" i="1"/>
  <c r="H152" i="1"/>
  <c r="K151" i="1"/>
  <c r="L151" i="1" s="1"/>
  <c r="J151" i="1"/>
  <c r="H151" i="1"/>
  <c r="K150" i="1"/>
  <c r="H150" i="1"/>
  <c r="J150" i="1" s="1"/>
  <c r="K149" i="1"/>
  <c r="L149" i="1" s="1"/>
  <c r="J149" i="1"/>
  <c r="H149" i="1"/>
  <c r="K148" i="1"/>
  <c r="L148" i="1" s="1"/>
  <c r="J148" i="1"/>
  <c r="H148" i="1"/>
  <c r="K147" i="1"/>
  <c r="H147" i="1"/>
  <c r="J147" i="1" s="1"/>
  <c r="K146" i="1"/>
  <c r="L146" i="1" s="1"/>
  <c r="J146" i="1"/>
  <c r="H146" i="1"/>
  <c r="L145" i="1"/>
  <c r="K145" i="1"/>
  <c r="J145" i="1"/>
  <c r="H145" i="1"/>
  <c r="K144" i="1"/>
  <c r="J144" i="1"/>
  <c r="H144" i="1"/>
  <c r="K143" i="1"/>
  <c r="L143" i="1" s="1"/>
  <c r="J143" i="1"/>
  <c r="H143" i="1"/>
  <c r="K142" i="1"/>
  <c r="L142" i="1" s="1"/>
  <c r="J142" i="1"/>
  <c r="H142" i="1"/>
  <c r="K141" i="1"/>
  <c r="H141" i="1"/>
  <c r="J141" i="1" s="1"/>
  <c r="K140" i="1"/>
  <c r="L140" i="1" s="1"/>
  <c r="J140" i="1"/>
  <c r="H140" i="1"/>
  <c r="K139" i="1"/>
  <c r="L139" i="1" s="1"/>
  <c r="J139" i="1"/>
  <c r="H139" i="1"/>
  <c r="K138" i="1"/>
  <c r="J138" i="1"/>
  <c r="H138" i="1"/>
  <c r="K137" i="1"/>
  <c r="L137" i="1" s="1"/>
  <c r="J137" i="1"/>
  <c r="H137" i="1"/>
  <c r="K136" i="1"/>
  <c r="L136" i="1" s="1"/>
  <c r="J136" i="1"/>
  <c r="H136" i="1"/>
  <c r="K135" i="1"/>
  <c r="J135" i="1"/>
  <c r="H135" i="1"/>
  <c r="K134" i="1"/>
  <c r="L134" i="1" s="1"/>
  <c r="J134" i="1"/>
  <c r="H134" i="1"/>
  <c r="L133" i="1"/>
  <c r="K133" i="1"/>
  <c r="J133" i="1"/>
  <c r="H133" i="1"/>
  <c r="K132" i="1"/>
  <c r="H132" i="1"/>
  <c r="J132" i="1" s="1"/>
  <c r="K131" i="1"/>
  <c r="L131" i="1" s="1"/>
  <c r="J131" i="1"/>
  <c r="H131" i="1"/>
  <c r="L130" i="1"/>
  <c r="K130" i="1"/>
  <c r="J130" i="1"/>
  <c r="H130" i="1"/>
  <c r="K129" i="1"/>
  <c r="H129" i="1"/>
  <c r="J129" i="1" s="1"/>
  <c r="K128" i="1"/>
  <c r="L128" i="1" s="1"/>
  <c r="J128" i="1"/>
  <c r="H128" i="1"/>
  <c r="L127" i="1"/>
  <c r="K127" i="1"/>
  <c r="J127" i="1"/>
  <c r="H127" i="1"/>
  <c r="K126" i="1"/>
  <c r="L126" i="1" s="1"/>
  <c r="J126" i="1"/>
  <c r="H126" i="1"/>
  <c r="K125" i="1"/>
  <c r="L125" i="1" s="1"/>
  <c r="J125" i="1"/>
  <c r="H125" i="1"/>
  <c r="K124" i="1"/>
  <c r="L124" i="1" s="1"/>
  <c r="J124" i="1"/>
  <c r="H124" i="1"/>
  <c r="K123" i="1"/>
  <c r="J123" i="1"/>
  <c r="H123" i="1"/>
  <c r="K122" i="1"/>
  <c r="L122" i="1" s="1"/>
  <c r="J122" i="1"/>
  <c r="H122" i="1"/>
  <c r="K121" i="1"/>
  <c r="L121" i="1" s="1"/>
  <c r="J121" i="1"/>
  <c r="H121" i="1"/>
  <c r="K120" i="1"/>
  <c r="J120" i="1"/>
  <c r="H120" i="1"/>
  <c r="K119" i="1"/>
  <c r="L119" i="1" s="1"/>
  <c r="J119" i="1"/>
  <c r="H119" i="1"/>
  <c r="K118" i="1"/>
  <c r="L118" i="1" s="1"/>
  <c r="J118" i="1"/>
  <c r="H118" i="1"/>
  <c r="K117" i="1"/>
  <c r="H117" i="1"/>
  <c r="J117" i="1" s="1"/>
  <c r="K116" i="1"/>
  <c r="L116" i="1" s="1"/>
  <c r="J116" i="1"/>
  <c r="H116" i="1"/>
  <c r="K115" i="1"/>
  <c r="L115" i="1" s="1"/>
  <c r="J115" i="1"/>
  <c r="H115" i="1"/>
  <c r="K114" i="1"/>
  <c r="H114" i="1"/>
  <c r="J114" i="1" s="1"/>
  <c r="K113" i="1"/>
  <c r="L113" i="1" s="1"/>
  <c r="J113" i="1"/>
  <c r="H113" i="1"/>
  <c r="L112" i="1"/>
  <c r="K112" i="1"/>
  <c r="J112" i="1"/>
  <c r="H112" i="1"/>
  <c r="K111" i="1"/>
  <c r="H111" i="1"/>
  <c r="J111" i="1" s="1"/>
  <c r="K110" i="1"/>
  <c r="L110" i="1" s="1"/>
  <c r="J110" i="1"/>
  <c r="H110" i="1"/>
  <c r="K109" i="1"/>
  <c r="L109" i="1" s="1"/>
  <c r="J109" i="1"/>
  <c r="H109" i="1"/>
  <c r="K108" i="1"/>
  <c r="J108" i="1"/>
  <c r="H108" i="1"/>
  <c r="K107" i="1"/>
  <c r="L107" i="1" s="1"/>
  <c r="J107" i="1"/>
  <c r="H107" i="1"/>
  <c r="K106" i="1"/>
  <c r="L106" i="1" s="1"/>
  <c r="J106" i="1"/>
  <c r="H106" i="1"/>
  <c r="K105" i="1"/>
  <c r="J105" i="1"/>
  <c r="H105" i="1"/>
  <c r="K104" i="1"/>
  <c r="L104" i="1" s="1"/>
  <c r="J104" i="1"/>
  <c r="H104" i="1"/>
  <c r="K103" i="1"/>
  <c r="L103" i="1" s="1"/>
  <c r="J103" i="1"/>
  <c r="H103" i="1"/>
  <c r="K102" i="1"/>
  <c r="H102" i="1"/>
  <c r="J102" i="1" s="1"/>
  <c r="K101" i="1"/>
  <c r="L101" i="1" s="1"/>
  <c r="J101" i="1"/>
  <c r="H101" i="1"/>
  <c r="K100" i="1"/>
  <c r="L100" i="1" s="1"/>
  <c r="J100" i="1"/>
  <c r="H100" i="1"/>
  <c r="K99" i="1"/>
  <c r="H99" i="1"/>
  <c r="J99" i="1" s="1"/>
  <c r="K98" i="1"/>
  <c r="L98" i="1" s="1"/>
  <c r="J98" i="1"/>
  <c r="H98" i="1"/>
  <c r="K97" i="1"/>
  <c r="L97" i="1" s="1"/>
  <c r="J97" i="1"/>
  <c r="H97" i="1"/>
  <c r="K96" i="1"/>
  <c r="J96" i="1"/>
  <c r="H96" i="1"/>
  <c r="K95" i="1"/>
  <c r="L95" i="1" s="1"/>
  <c r="J95" i="1"/>
  <c r="H95" i="1"/>
  <c r="K94" i="1"/>
  <c r="L94" i="1" s="1"/>
  <c r="J94" i="1"/>
  <c r="H94" i="1"/>
  <c r="K93" i="1"/>
  <c r="H93" i="1"/>
  <c r="J93" i="1" s="1"/>
  <c r="K92" i="1"/>
  <c r="L92" i="1" s="1"/>
  <c r="J92" i="1"/>
  <c r="H92" i="1"/>
  <c r="K91" i="1"/>
  <c r="L91" i="1" s="1"/>
  <c r="J91" i="1"/>
  <c r="H91" i="1"/>
  <c r="K90" i="1"/>
  <c r="J90" i="1"/>
  <c r="H90" i="1"/>
  <c r="K89" i="1"/>
  <c r="L89" i="1" s="1"/>
  <c r="J89" i="1"/>
  <c r="H89" i="1"/>
  <c r="L88" i="1"/>
  <c r="K88" i="1"/>
  <c r="J88" i="1"/>
  <c r="H88" i="1"/>
  <c r="K87" i="1"/>
  <c r="H87" i="1"/>
  <c r="J87" i="1" s="1"/>
  <c r="K86" i="1"/>
  <c r="L86" i="1" s="1"/>
  <c r="J86" i="1"/>
  <c r="H86" i="1"/>
  <c r="K85" i="1"/>
  <c r="L85" i="1" s="1"/>
  <c r="J85" i="1"/>
  <c r="H85" i="1"/>
  <c r="K84" i="1"/>
  <c r="H84" i="1"/>
  <c r="J84" i="1" s="1"/>
  <c r="K83" i="1"/>
  <c r="L83" i="1" s="1"/>
  <c r="J83" i="1"/>
  <c r="H83" i="1"/>
  <c r="K82" i="1"/>
  <c r="L82" i="1" s="1"/>
  <c r="J82" i="1"/>
  <c r="H82" i="1"/>
  <c r="K81" i="1"/>
  <c r="J81" i="1"/>
  <c r="H81" i="1"/>
  <c r="K80" i="1"/>
  <c r="L80" i="1" s="1"/>
  <c r="J80" i="1"/>
  <c r="H80" i="1"/>
  <c r="K79" i="1"/>
  <c r="L79" i="1" s="1"/>
  <c r="J79" i="1"/>
  <c r="H79" i="1"/>
  <c r="K78" i="1"/>
  <c r="H78" i="1"/>
  <c r="J78" i="1" s="1"/>
  <c r="K77" i="1"/>
  <c r="L77" i="1" s="1"/>
  <c r="J77" i="1"/>
  <c r="H77" i="1"/>
  <c r="K76" i="1"/>
  <c r="L76" i="1" s="1"/>
  <c r="J76" i="1"/>
  <c r="H76" i="1"/>
  <c r="K75" i="1"/>
  <c r="H75" i="1"/>
  <c r="J75" i="1" s="1"/>
  <c r="K74" i="1"/>
  <c r="L74" i="1" s="1"/>
  <c r="J74" i="1"/>
  <c r="H74" i="1"/>
  <c r="L73" i="1"/>
  <c r="K73" i="1"/>
  <c r="J73" i="1"/>
  <c r="H73" i="1"/>
  <c r="K72" i="1"/>
  <c r="J72" i="1"/>
  <c r="H72" i="1"/>
  <c r="K71" i="1"/>
  <c r="L71" i="1" s="1"/>
  <c r="J71" i="1"/>
  <c r="H71" i="1"/>
  <c r="K70" i="1"/>
  <c r="L70" i="1" s="1"/>
  <c r="J70" i="1"/>
  <c r="H70" i="1"/>
  <c r="K69" i="1"/>
  <c r="H69" i="1"/>
  <c r="J69" i="1" s="1"/>
  <c r="K68" i="1"/>
  <c r="L68" i="1" s="1"/>
  <c r="J68" i="1"/>
  <c r="H68" i="1"/>
  <c r="K67" i="1"/>
  <c r="L67" i="1" s="1"/>
  <c r="J67" i="1"/>
  <c r="H67" i="1"/>
  <c r="K66" i="1"/>
  <c r="L66" i="1" s="1"/>
  <c r="J66" i="1"/>
  <c r="H66" i="1"/>
  <c r="K65" i="1"/>
  <c r="L65" i="1" s="1"/>
  <c r="J65" i="1"/>
  <c r="H65" i="1"/>
  <c r="K64" i="1"/>
  <c r="L64" i="1" s="1"/>
  <c r="J64" i="1"/>
  <c r="H64" i="1"/>
  <c r="K63" i="1"/>
  <c r="H63" i="1"/>
  <c r="J63" i="1" s="1"/>
  <c r="L63" i="1" s="1"/>
  <c r="K62" i="1"/>
  <c r="L62" i="1" s="1"/>
  <c r="J62" i="1"/>
  <c r="H62" i="1"/>
  <c r="L61" i="1"/>
  <c r="K61" i="1"/>
  <c r="J61" i="1"/>
  <c r="H61" i="1"/>
  <c r="K60" i="1"/>
  <c r="J60" i="1"/>
  <c r="H60" i="1"/>
  <c r="K59" i="1"/>
  <c r="L59" i="1" s="1"/>
  <c r="J59" i="1"/>
  <c r="H59" i="1"/>
  <c r="L58" i="1"/>
  <c r="K58" i="1"/>
  <c r="J58" i="1"/>
  <c r="H58" i="1"/>
  <c r="K57" i="1"/>
  <c r="H57" i="1"/>
  <c r="J57" i="1" s="1"/>
  <c r="K56" i="1"/>
  <c r="L56" i="1" s="1"/>
  <c r="J56" i="1"/>
  <c r="H56" i="1"/>
  <c r="L55" i="1"/>
  <c r="K55" i="1"/>
  <c r="J55" i="1"/>
  <c r="H55" i="1"/>
  <c r="K54" i="1"/>
  <c r="H54" i="1"/>
  <c r="J54" i="1" s="1"/>
  <c r="K53" i="1"/>
  <c r="L53" i="1" s="1"/>
  <c r="J53" i="1"/>
  <c r="H53" i="1"/>
  <c r="K52" i="1"/>
  <c r="L52" i="1" s="1"/>
  <c r="J52" i="1"/>
  <c r="H52" i="1"/>
  <c r="K51" i="1"/>
  <c r="H51" i="1"/>
  <c r="J51" i="1" s="1"/>
  <c r="L51" i="1" s="1"/>
  <c r="K50" i="1"/>
  <c r="L50" i="1" s="1"/>
  <c r="J50" i="1"/>
  <c r="H50" i="1"/>
  <c r="K49" i="1"/>
  <c r="L49" i="1" s="1"/>
  <c r="J49" i="1"/>
  <c r="H49" i="1"/>
  <c r="L48" i="1"/>
  <c r="K48" i="1"/>
  <c r="H48" i="1"/>
  <c r="J48" i="1" s="1"/>
  <c r="K47" i="1"/>
  <c r="L47" i="1" s="1"/>
  <c r="J47" i="1"/>
  <c r="H47" i="1"/>
  <c r="K46" i="1"/>
  <c r="L46" i="1" s="1"/>
  <c r="J46" i="1"/>
  <c r="H46" i="1"/>
  <c r="K45" i="1"/>
  <c r="L45" i="1" s="1"/>
  <c r="J45" i="1"/>
  <c r="H45" i="1"/>
  <c r="K44" i="1"/>
  <c r="L44" i="1" s="1"/>
  <c r="J44" i="1"/>
  <c r="H44" i="1"/>
  <c r="K43" i="1"/>
  <c r="L43" i="1" s="1"/>
  <c r="J43" i="1"/>
  <c r="H43" i="1"/>
  <c r="K42" i="1"/>
  <c r="H42" i="1"/>
  <c r="J42" i="1" s="1"/>
  <c r="L42" i="1" s="1"/>
  <c r="K41" i="1"/>
  <c r="L41" i="1" s="1"/>
  <c r="J41" i="1"/>
  <c r="H41" i="1"/>
  <c r="K40" i="1"/>
  <c r="L40" i="1" s="1"/>
  <c r="J40" i="1"/>
  <c r="H40" i="1"/>
  <c r="K39" i="1"/>
  <c r="H39" i="1"/>
  <c r="J39" i="1" s="1"/>
  <c r="K38" i="1"/>
  <c r="L38" i="1" s="1"/>
  <c r="J38" i="1"/>
  <c r="H38" i="1"/>
  <c r="K37" i="1"/>
  <c r="L37" i="1" s="1"/>
  <c r="J37" i="1"/>
  <c r="H37" i="1"/>
  <c r="K36" i="1"/>
  <c r="L36" i="1" s="1"/>
  <c r="J36" i="1"/>
  <c r="H36" i="1"/>
  <c r="K35" i="1"/>
  <c r="L35" i="1" s="1"/>
  <c r="J35" i="1"/>
  <c r="H35" i="1"/>
  <c r="K34" i="1"/>
  <c r="L34" i="1" s="1"/>
  <c r="J34" i="1"/>
  <c r="H34" i="1"/>
  <c r="K33" i="1"/>
  <c r="H33" i="1"/>
  <c r="J33" i="1" s="1"/>
  <c r="K32" i="1"/>
  <c r="L32" i="1" s="1"/>
  <c r="J32" i="1"/>
  <c r="H32" i="1"/>
  <c r="K31" i="1"/>
  <c r="L31" i="1" s="1"/>
  <c r="J31" i="1"/>
  <c r="H31" i="1"/>
  <c r="K30" i="1"/>
  <c r="H30" i="1"/>
  <c r="J30" i="1" s="1"/>
  <c r="K29" i="1"/>
  <c r="J29" i="1"/>
  <c r="H29" i="1"/>
  <c r="L28" i="1"/>
  <c r="K28" i="1"/>
  <c r="J28" i="1"/>
  <c r="H28" i="1"/>
  <c r="K27" i="1"/>
  <c r="H27" i="1"/>
  <c r="J27" i="1" s="1"/>
  <c r="L27" i="1" s="1"/>
  <c r="K26" i="1"/>
  <c r="J26" i="1"/>
  <c r="H26" i="1"/>
  <c r="L25" i="1"/>
  <c r="K25" i="1"/>
  <c r="J25" i="1"/>
  <c r="H25" i="1"/>
  <c r="K24" i="1"/>
  <c r="H24" i="1"/>
  <c r="J24" i="1" s="1"/>
  <c r="L24" i="1" s="1"/>
  <c r="K23" i="1"/>
  <c r="J23" i="1"/>
  <c r="H23" i="1"/>
  <c r="K22" i="1"/>
  <c r="L22" i="1" s="1"/>
  <c r="J22" i="1"/>
  <c r="H22" i="1"/>
  <c r="K21" i="1"/>
  <c r="L21" i="1" s="1"/>
  <c r="J21" i="1"/>
  <c r="H21" i="1"/>
  <c r="K20" i="1"/>
  <c r="J20" i="1"/>
  <c r="H20" i="1"/>
  <c r="K19" i="1"/>
  <c r="L19" i="1" s="1"/>
  <c r="J19" i="1"/>
  <c r="H19" i="1"/>
  <c r="K18" i="1"/>
  <c r="H18" i="1"/>
  <c r="J18" i="1" s="1"/>
  <c r="K17" i="1"/>
  <c r="L17" i="1" s="1"/>
  <c r="J17" i="1"/>
  <c r="H17" i="1"/>
  <c r="K16" i="1"/>
  <c r="L16" i="1" s="1"/>
  <c r="J16" i="1"/>
  <c r="H16" i="1"/>
  <c r="L15" i="1"/>
  <c r="K15" i="1"/>
  <c r="H15" i="1"/>
  <c r="J15" i="1" s="1"/>
  <c r="K14" i="1"/>
  <c r="J14" i="1"/>
  <c r="H14" i="1"/>
  <c r="L13" i="1"/>
  <c r="K13" i="1"/>
  <c r="J13" i="1"/>
  <c r="H13" i="1"/>
  <c r="K12" i="1"/>
  <c r="L12" i="1" s="1"/>
  <c r="H12" i="1"/>
  <c r="J12" i="1" s="1"/>
  <c r="K11" i="1"/>
  <c r="L11" i="1" s="1"/>
  <c r="J11" i="1"/>
  <c r="H11" i="1"/>
  <c r="L10" i="1"/>
  <c r="K10" i="1"/>
  <c r="J10" i="1"/>
  <c r="H10" i="1"/>
  <c r="K9" i="1"/>
  <c r="L9" i="1" s="1"/>
  <c r="J9" i="1"/>
  <c r="H9" i="1"/>
  <c r="K8" i="1"/>
  <c r="J8" i="1"/>
  <c r="H8" i="1"/>
  <c r="K7" i="1"/>
  <c r="L7" i="1" s="1"/>
  <c r="J7" i="1"/>
  <c r="H7" i="1"/>
  <c r="K6" i="1"/>
  <c r="H6" i="1"/>
  <c r="T5" i="1" s="1"/>
  <c r="B4" i="2" s="1"/>
  <c r="K5" i="1"/>
  <c r="H5" i="1"/>
  <c r="J5" i="1" s="1"/>
  <c r="K4" i="1"/>
  <c r="H4" i="1"/>
  <c r="J4" i="1" s="1"/>
  <c r="L4" i="1" s="1"/>
  <c r="K3" i="1"/>
  <c r="H3" i="1"/>
  <c r="J3" i="1" s="1"/>
  <c r="K2" i="1"/>
  <c r="L2" i="1" s="1"/>
  <c r="J2" i="1"/>
  <c r="H2" i="1"/>
  <c r="L33" i="1" l="1"/>
  <c r="L30" i="1"/>
  <c r="L39" i="1"/>
  <c r="L177" i="1"/>
  <c r="L336" i="1"/>
  <c r="J6" i="1"/>
  <c r="L6" i="1" s="1"/>
  <c r="L711" i="1"/>
  <c r="L105" i="1"/>
  <c r="L207" i="1"/>
  <c r="L249" i="1"/>
  <c r="L351" i="1"/>
  <c r="L5" i="1"/>
  <c r="L29" i="1"/>
  <c r="L90" i="1"/>
  <c r="L162" i="1"/>
  <c r="L234" i="1"/>
  <c r="L414" i="1"/>
  <c r="L57" i="1"/>
  <c r="L418" i="1"/>
  <c r="L544" i="1"/>
  <c r="L87" i="1"/>
  <c r="L102" i="1"/>
  <c r="L231" i="1"/>
  <c r="L333" i="1"/>
  <c r="S2" i="1"/>
  <c r="L54" i="1"/>
  <c r="L72" i="1"/>
  <c r="L526" i="1"/>
  <c r="L702" i="1"/>
  <c r="L20" i="1"/>
  <c r="L408" i="1"/>
  <c r="L486" i="1"/>
  <c r="L490" i="1"/>
  <c r="L519" i="1"/>
  <c r="L541" i="1"/>
  <c r="L627" i="1"/>
  <c r="L660" i="1"/>
  <c r="L664" i="1"/>
  <c r="L883" i="1"/>
  <c r="L895" i="1"/>
  <c r="L924" i="1"/>
  <c r="L120" i="1"/>
  <c r="L192" i="1"/>
  <c r="L279" i="1"/>
  <c r="L321" i="1"/>
  <c r="L580" i="1"/>
  <c r="L600" i="1"/>
  <c r="L708" i="1"/>
  <c r="L738" i="1"/>
  <c r="L742" i="1"/>
  <c r="L306" i="1"/>
  <c r="L26" i="1"/>
  <c r="L630" i="1"/>
  <c r="L23" i="1"/>
  <c r="L159" i="1"/>
  <c r="L174" i="1"/>
  <c r="L189" i="1"/>
  <c r="L246" i="1"/>
  <c r="L261" i="1"/>
  <c r="L303" i="1"/>
  <c r="L318" i="1"/>
  <c r="L382" i="1"/>
  <c r="L411" i="1"/>
  <c r="L433" i="1"/>
  <c r="L444" i="1"/>
  <c r="L448" i="1"/>
  <c r="L466" i="1"/>
  <c r="L522" i="1"/>
  <c r="L634" i="1"/>
  <c r="L649" i="1"/>
  <c r="L144" i="1"/>
  <c r="L216" i="1"/>
  <c r="L288" i="1"/>
  <c r="L937" i="1"/>
  <c r="L3" i="1"/>
  <c r="L69" i="1"/>
  <c r="L84" i="1"/>
  <c r="L99" i="1"/>
  <c r="L141" i="1"/>
  <c r="L156" i="1"/>
  <c r="L171" i="1"/>
  <c r="L213" i="1"/>
  <c r="L228" i="1"/>
  <c r="L243" i="1"/>
  <c r="L285" i="1"/>
  <c r="L300" i="1"/>
  <c r="L315" i="1"/>
  <c r="L360" i="1"/>
  <c r="L379" i="1"/>
  <c r="L390" i="1"/>
  <c r="L412" i="1"/>
  <c r="L456" i="1"/>
  <c r="L657" i="1"/>
  <c r="L721" i="1"/>
  <c r="L831" i="1"/>
  <c r="L933" i="1"/>
  <c r="L997" i="1"/>
  <c r="L117" i="1"/>
  <c r="L375" i="1"/>
  <c r="L654" i="1"/>
  <c r="L60" i="1"/>
  <c r="L135" i="1"/>
  <c r="L264" i="1"/>
  <c r="L525" i="1"/>
  <c r="L495" i="1"/>
  <c r="L603" i="1"/>
  <c r="L14" i="1"/>
  <c r="L81" i="1"/>
  <c r="L123" i="1"/>
  <c r="L138" i="1"/>
  <c r="L153" i="1"/>
  <c r="L195" i="1"/>
  <c r="L210" i="1"/>
  <c r="L225" i="1"/>
  <c r="L267" i="1"/>
  <c r="L282" i="1"/>
  <c r="L297" i="1"/>
  <c r="L339" i="1"/>
  <c r="L354" i="1"/>
  <c r="L361" i="1"/>
  <c r="L387" i="1"/>
  <c r="L391" i="1"/>
  <c r="L483" i="1"/>
  <c r="L498" i="1"/>
  <c r="L564" i="1"/>
  <c r="L591" i="1"/>
  <c r="L726" i="1"/>
  <c r="L741" i="1"/>
  <c r="L788" i="1"/>
  <c r="L18" i="1"/>
  <c r="L108" i="1"/>
  <c r="L180" i="1"/>
  <c r="L252" i="1"/>
  <c r="L324" i="1"/>
  <c r="L384" i="1"/>
  <c r="L472" i="1"/>
  <c r="L804" i="1"/>
  <c r="L78" i="1"/>
  <c r="L96" i="1"/>
  <c r="L168" i="1"/>
  <c r="L204" i="1"/>
  <c r="L222" i="1"/>
  <c r="L276" i="1"/>
  <c r="L294" i="1"/>
  <c r="L330" i="1"/>
  <c r="L402" i="1"/>
  <c r="L492" i="1"/>
  <c r="L499" i="1"/>
  <c r="L513" i="1"/>
  <c r="L552" i="1"/>
  <c r="L556" i="1"/>
  <c r="L735" i="1"/>
  <c r="L777" i="1"/>
  <c r="L849" i="1"/>
  <c r="L348" i="1"/>
  <c r="L352" i="1"/>
  <c r="L438" i="1"/>
  <c r="L510" i="1"/>
  <c r="L549" i="1"/>
  <c r="L633" i="1"/>
  <c r="L699" i="1"/>
  <c r="L703" i="1"/>
  <c r="L114" i="1"/>
  <c r="L132" i="1"/>
  <c r="L150" i="1"/>
  <c r="L186" i="1"/>
  <c r="L240" i="1"/>
  <c r="L258" i="1"/>
  <c r="L312" i="1"/>
  <c r="L441" i="1"/>
  <c r="L8" i="1"/>
  <c r="L75" i="1"/>
  <c r="L93" i="1"/>
  <c r="L111" i="1"/>
  <c r="L129" i="1"/>
  <c r="L147" i="1"/>
  <c r="L165" i="1"/>
  <c r="L183" i="1"/>
  <c r="L201" i="1"/>
  <c r="L219" i="1"/>
  <c r="L237" i="1"/>
  <c r="L255" i="1"/>
  <c r="L273" i="1"/>
  <c r="L291" i="1"/>
  <c r="L309" i="1"/>
  <c r="L327" i="1"/>
  <c r="L345" i="1"/>
  <c r="L459" i="1"/>
  <c r="L463" i="1"/>
  <c r="L546" i="1"/>
  <c r="L714" i="1"/>
  <c r="L732" i="1"/>
  <c r="L841" i="1"/>
  <c r="L967" i="1"/>
  <c r="L975" i="1"/>
  <c r="L759" i="1"/>
  <c r="L789" i="1"/>
  <c r="L793" i="1"/>
  <c r="L797" i="1"/>
  <c r="L861" i="1"/>
  <c r="L865" i="1"/>
  <c r="L869" i="1"/>
  <c r="L880" i="1"/>
  <c r="L903" i="1"/>
  <c r="L990" i="1"/>
  <c r="L381" i="1"/>
  <c r="L462" i="1"/>
  <c r="L489" i="1"/>
  <c r="L570" i="1"/>
  <c r="L597" i="1"/>
  <c r="L678" i="1"/>
  <c r="L705" i="1"/>
  <c r="L778" i="1"/>
  <c r="L808" i="1"/>
  <c r="L823" i="1"/>
  <c r="L846" i="1"/>
  <c r="L850" i="1"/>
  <c r="L949" i="1"/>
  <c r="L957" i="1"/>
  <c r="L994" i="1"/>
  <c r="L621" i="1"/>
  <c r="L628" i="1"/>
  <c r="L675" i="1"/>
  <c r="L729" i="1"/>
  <c r="L736" i="1"/>
  <c r="L790" i="1"/>
  <c r="L805" i="1"/>
  <c r="L877" i="1"/>
  <c r="L885" i="1"/>
  <c r="L969" i="1"/>
  <c r="L973" i="1"/>
  <c r="L984" i="1"/>
  <c r="L372" i="1"/>
  <c r="L426" i="1"/>
  <c r="L453" i="1"/>
  <c r="L534" i="1"/>
  <c r="L561" i="1"/>
  <c r="L642" i="1"/>
  <c r="L669" i="1"/>
  <c r="L750" i="1"/>
  <c r="L757" i="1"/>
  <c r="L761" i="1"/>
  <c r="L813" i="1"/>
  <c r="L897" i="1"/>
  <c r="L901" i="1"/>
  <c r="L916" i="1"/>
  <c r="L939" i="1"/>
  <c r="L988" i="1"/>
  <c r="L369" i="1"/>
  <c r="L396" i="1"/>
  <c r="L450" i="1"/>
  <c r="L480" i="1"/>
  <c r="L558" i="1"/>
  <c r="L588" i="1"/>
  <c r="L666" i="1"/>
  <c r="L696" i="1"/>
  <c r="L772" i="1"/>
  <c r="L787" i="1"/>
  <c r="L859" i="1"/>
  <c r="L882" i="1"/>
  <c r="L886" i="1"/>
  <c r="L985" i="1"/>
  <c r="L366" i="1"/>
  <c r="L423" i="1"/>
  <c r="L477" i="1"/>
  <c r="L531" i="1"/>
  <c r="L585" i="1"/>
  <c r="L639" i="1"/>
  <c r="L693" i="1"/>
  <c r="L747" i="1"/>
  <c r="L795" i="1"/>
  <c r="L867" i="1"/>
  <c r="L955" i="1"/>
  <c r="L826" i="1"/>
  <c r="L851" i="1"/>
  <c r="L862" i="1"/>
  <c r="L898" i="1"/>
  <c r="L934" i="1"/>
  <c r="L970" i="1"/>
  <c r="L991" i="1"/>
  <c r="L363" i="1"/>
  <c r="L399" i="1"/>
  <c r="L435" i="1"/>
  <c r="L471" i="1"/>
  <c r="L507" i="1"/>
  <c r="L543" i="1"/>
  <c r="L579" i="1"/>
  <c r="L615" i="1"/>
  <c r="L651" i="1"/>
  <c r="L687" i="1"/>
  <c r="L723" i="1"/>
  <c r="L781" i="1"/>
  <c r="L817" i="1"/>
  <c r="L853" i="1"/>
  <c r="L889" i="1"/>
  <c r="L925" i="1"/>
  <c r="L961" i="1"/>
  <c r="L432" i="1"/>
  <c r="L468" i="1"/>
  <c r="L504" i="1"/>
  <c r="L540" i="1"/>
  <c r="L576" i="1"/>
  <c r="L612" i="1"/>
  <c r="L648" i="1"/>
  <c r="L684" i="1"/>
  <c r="L720" i="1"/>
  <c r="L756" i="1"/>
  <c r="L792" i="1"/>
  <c r="L828" i="1"/>
  <c r="L864" i="1"/>
  <c r="L900" i="1"/>
  <c r="L936" i="1"/>
  <c r="L972" i="1"/>
  <c r="L766" i="1"/>
  <c r="L802" i="1"/>
  <c r="L838" i="1"/>
  <c r="L874" i="1"/>
  <c r="L910" i="1"/>
  <c r="L946" i="1"/>
  <c r="L982" i="1"/>
  <c r="L763" i="1"/>
  <c r="L799" i="1"/>
  <c r="L835" i="1"/>
  <c r="L871" i="1"/>
  <c r="L907" i="1"/>
  <c r="L943" i="1"/>
  <c r="L979" i="1"/>
  <c r="L784" i="1"/>
  <c r="L820" i="1"/>
  <c r="L856" i="1"/>
  <c r="L892" i="1"/>
  <c r="L928" i="1"/>
  <c r="L964" i="1"/>
  <c r="L1000" i="1"/>
  <c r="B15" i="2" l="1"/>
  <c r="B13" i="2"/>
  <c r="B12" i="2"/>
  <c r="T2" i="1"/>
  <c r="U2" i="1" s="1"/>
  <c r="B14" i="2"/>
  <c r="B5" i="2" l="1"/>
  <c r="B6" i="2" s="1"/>
  <c r="U4" i="1"/>
  <c r="U3" i="1"/>
</calcChain>
</file>

<file path=xl/sharedStrings.xml><?xml version="1.0" encoding="utf-8"?>
<sst xmlns="http://schemas.openxmlformats.org/spreadsheetml/2006/main" count="71" uniqueCount="45">
  <si>
    <t>Участок линии</t>
  </si>
  <si>
    <t>Единица промышленного оборудования</t>
  </si>
  <si>
    <t>Комплектующие</t>
  </si>
  <si>
    <t>Количество единиц</t>
  </si>
  <si>
    <t>Количество комплектующих</t>
  </si>
  <si>
    <t>ед.изм.</t>
  </si>
  <si>
    <t>Общее количество в единице пром оборудования</t>
  </si>
  <si>
    <t>Стоимость комплектующих в единице пром оборудования, с НДС</t>
  </si>
  <si>
    <t>Накрутка</t>
  </si>
  <si>
    <t>Цена выходная</t>
  </si>
  <si>
    <t>тип</t>
  </si>
  <si>
    <t>Тип накрутки</t>
  </si>
  <si>
    <t>Процент накрутки</t>
  </si>
  <si>
    <t>себестоимость</t>
  </si>
  <si>
    <t>Цена</t>
  </si>
  <si>
    <t>Маржа</t>
  </si>
  <si>
    <t>Металлоконструкции</t>
  </si>
  <si>
    <t>кг.</t>
  </si>
  <si>
    <t>м/к</t>
  </si>
  <si>
    <t>Токарка/фрезеровка</t>
  </si>
  <si>
    <t>комп</t>
  </si>
  <si>
    <t>шт.</t>
  </si>
  <si>
    <t>товар</t>
  </si>
  <si>
    <t>Удельная маржа</t>
  </si>
  <si>
    <t>Товар</t>
  </si>
  <si>
    <t>услуга</t>
  </si>
  <si>
    <t>трудозатарты</t>
  </si>
  <si>
    <t>смен</t>
  </si>
  <si>
    <t>Услуга</t>
  </si>
  <si>
    <t>срок простоя от поставки/изготовления</t>
  </si>
  <si>
    <t>мес</t>
  </si>
  <si>
    <t>Сотрудников в проекте</t>
  </si>
  <si>
    <t>чел</t>
  </si>
  <si>
    <t>срок выполнения работ</t>
  </si>
  <si>
    <t>маржа без НДС</t>
  </si>
  <si>
    <t>тыс. руб.</t>
  </si>
  <si>
    <t>блок</t>
  </si>
  <si>
    <t>доля цены</t>
  </si>
  <si>
    <t>template_version</t>
  </si>
  <si>
    <t>created_date</t>
  </si>
  <si>
    <t>created_by</t>
  </si>
  <si>
    <t>comment</t>
  </si>
  <si>
    <t>V1.0</t>
  </si>
  <si>
    <t>Себестоимость комплектующих, с НДС</t>
  </si>
  <si>
    <t>Статус подбора из БД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</si>
</sst>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-* #,##0\ [$₽-419]_-;\-* #,##0\ [$₽-419]_-;_-* \-??\ [$₽-419]_-;_-@"/>
    <numFmt numFmtId="165" formatCode="_-* #,##0.00\ _₽_-;\-* #,##0.00\ _₽_-;_-* \-??\ _₽_-;_-@"/>
    <numFmt numFmtId="166" formatCode="_-* #,##0.00&quot; ₽&quot;_-;\-* #,##0.00&quot; ₽&quot;_-;_-* \-??&quot; ₽&quot;_-;_-@"/>
    <numFmt numFmtId="167" formatCode="_-* #,##0\ _₽_-;\-* #,##0\ _₽_-;_-* \-??\ _₽_-;_-@"/>
    <numFmt numFmtId="168" formatCode="dd/mm/yy"/>
  </numFmts>
  <fonts count="3" x14ac:knownFonts="1">
    <font>
      <sz val="11"/>
      <color theme="1"/>
      <name val="Calibri"/>
      <charset val="1"/>
    </font>
    <font>
      <b/>
      <sz val="11"/>
      <color theme="1"/>
      <name val="Calibri"/>
      <charset val="1"/>
    </font>
    <font>
      <i/>
      <sz val="11"/>
      <color theme="1"/>
      <name val="Calibri"/>
      <charset val="1"/>
    </font>
  </fonts>
  <fills count="8">
    <fill>
      <patternFill patternType="none"/>
    </fill>
    <fill>
      <patternFill patternType="gray125"/>
    </fill>
    <fill>
      <patternFill patternType="solid">
        <fgColor rgb="FFD8D8D8"/>
        <bgColor rgb="FFD6E3BC"/>
      </patternFill>
    </fill>
    <fill>
      <patternFill patternType="solid">
        <fgColor rgb="FFFBD4B4"/>
        <bgColor rgb="FFD8D8D8"/>
      </patternFill>
    </fill>
    <fill>
      <patternFill patternType="solid">
        <fgColor rgb="FF92D050"/>
        <bgColor rgb="FFC0C0C0"/>
      </patternFill>
    </fill>
    <fill>
      <patternFill patternType="solid">
        <fgColor rgb="FFD6E3BC"/>
        <bgColor rgb="FFD8D8D8"/>
      </patternFill>
    </fill>
    <fill>
      <patternFill patternType="solid">
        <fgColor rgb="FF95B3D7"/>
        <bgColor rgb="FF8DB3E2"/>
      </patternFill>
    </fill>
    <fill>
      <patternFill patternType="solid">
        <fgColor rgb="FF8DB3E2"/>
        <bgColor rgb="FF95B3D7"/>
      </patternFill>
    </fill>
  </fills>
  <borders count="2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0" xfId="0" applyAlignment="1" applyProtection="1"/>
    <xf numFmtId="0" fontId="1" fillId="2" borderId="1" xfId="0" applyFont="1" applyFill="1" applyBorder="1" applyAlignment="1" applyProtection="1">
      <alignment horizontal="center"/>
    </xf>
    <xf numFmtId="0" fontId="1" fillId="2" borderId="2" xfId="0" applyFont="1" applyFill="1" applyBorder="1" applyAlignment="1" applyProtection="1">
      <alignment horizontal="center" wrapText="1"/>
    </xf>
    <xf numFmtId="0" fontId="1" fillId="2" borderId="3" xfId="0" applyFont="1" applyFill="1" applyBorder="1" applyAlignment="1" applyProtection="1">
      <alignment horizontal="center" wrapText="1"/>
    </xf>
    <xf numFmtId="164" fontId="1" fillId="2" borderId="3" xfId="0" applyNumberFormat="1" applyFont="1" applyFill="1" applyBorder="1" applyAlignment="1" applyProtection="1">
      <alignment horizontal="center" wrapText="1"/>
    </xf>
    <xf numFmtId="0" fontId="1" fillId="2" borderId="4" xfId="0" applyFont="1" applyFill="1" applyBorder="1" applyAlignment="1" applyProtection="1">
      <alignment horizontal="center" wrapText="1"/>
    </xf>
    <xf numFmtId="0" fontId="0" fillId="3" borderId="5" xfId="0" applyFont="1" applyFill="1" applyBorder="1" applyAlignment="1" applyProtection="1">
      <alignment wrapText="1"/>
    </xf>
    <xf numFmtId="0" fontId="1" fillId="4" borderId="6" xfId="0" applyFont="1" applyFill="1" applyBorder="1" applyAlignment="1" applyProtection="1"/>
    <xf numFmtId="0" fontId="1" fillId="4" borderId="7" xfId="0" applyFont="1" applyFill="1" applyBorder="1" applyAlignment="1" applyProtection="1"/>
    <xf numFmtId="0" fontId="1" fillId="4" borderId="8" xfId="0" applyFont="1" applyFill="1" applyBorder="1" applyAlignment="1" applyProtection="1"/>
    <xf numFmtId="0" fontId="0" fillId="0" borderId="9" xfId="0" applyFont="1" applyBorder="1" applyAlignment="1" applyProtection="1"/>
    <xf numFmtId="0" fontId="0" fillId="0" borderId="10" xfId="0" applyFont="1" applyBorder="1" applyAlignment="1" applyProtection="1">
      <alignment vertical="center" wrapText="1"/>
    </xf>
    <xf numFmtId="0" fontId="0" fillId="0" borderId="10" xfId="0" applyFont="1" applyBorder="1" applyAlignment="1" applyProtection="1">
      <alignment wrapText="1"/>
    </xf>
    <xf numFmtId="0" fontId="0" fillId="0" borderId="10" xfId="0" applyFont="1" applyBorder="1" applyAlignment="1" applyProtection="1"/>
    <xf numFmtId="0" fontId="0" fillId="0" borderId="3" xfId="0" applyFont="1" applyBorder="1" applyAlignment="1" applyProtection="1"/>
    <xf numFmtId="164" fontId="0" fillId="0" borderId="10" xfId="0" applyNumberFormat="1" applyFont="1" applyBorder="1" applyAlignment="1" applyProtection="1"/>
    <xf numFmtId="9" fontId="0" fillId="0" borderId="10" xfId="0" applyNumberFormat="1" applyFont="1" applyBorder="1" applyAlignment="1" applyProtection="1"/>
    <xf numFmtId="164" fontId="0" fillId="0" borderId="3" xfId="0" applyNumberFormat="1" applyFont="1" applyBorder="1" applyAlignment="1" applyProtection="1"/>
    <xf numFmtId="0" fontId="0" fillId="0" borderId="11" xfId="0" applyFont="1" applyBorder="1" applyAlignment="1" applyProtection="1"/>
    <xf numFmtId="0" fontId="0" fillId="3" borderId="5" xfId="0" applyFont="1" applyFill="1" applyBorder="1" applyAlignment="1" applyProtection="1"/>
    <xf numFmtId="9" fontId="0" fillId="3" borderId="5" xfId="0" applyNumberFormat="1" applyFont="1" applyFill="1" applyBorder="1" applyAlignment="1" applyProtection="1"/>
    <xf numFmtId="164" fontId="1" fillId="4" borderId="12" xfId="0" applyNumberFormat="1" applyFont="1" applyFill="1" applyBorder="1" applyAlignment="1" applyProtection="1"/>
    <xf numFmtId="164" fontId="1" fillId="4" borderId="0" xfId="0" applyNumberFormat="1" applyFont="1" applyFill="1" applyBorder="1" applyAlignment="1" applyProtection="1"/>
    <xf numFmtId="164" fontId="1" fillId="4" borderId="13" xfId="0" applyNumberFormat="1" applyFont="1" applyFill="1" applyBorder="1" applyAlignment="1" applyProtection="1"/>
    <xf numFmtId="0" fontId="0" fillId="0" borderId="14" xfId="0" applyFont="1" applyBorder="1" applyAlignment="1" applyProtection="1"/>
    <xf numFmtId="0" fontId="0" fillId="0" borderId="5" xfId="0" applyFont="1" applyBorder="1" applyAlignment="1" applyProtection="1">
      <alignment vertical="center" wrapText="1"/>
    </xf>
    <xf numFmtId="0" fontId="0" fillId="0" borderId="5" xfId="0" applyFont="1" applyBorder="1" applyAlignment="1" applyProtection="1"/>
    <xf numFmtId="164" fontId="0" fillId="0" borderId="5" xfId="0" applyNumberFormat="1" applyFont="1" applyBorder="1" applyAlignment="1" applyProtection="1"/>
    <xf numFmtId="9" fontId="0" fillId="0" borderId="5" xfId="0" applyNumberFormat="1" applyFont="1" applyBorder="1" applyAlignment="1" applyProtection="1"/>
    <xf numFmtId="0" fontId="0" fillId="0" borderId="15" xfId="0" applyFont="1" applyBorder="1" applyAlignment="1" applyProtection="1"/>
    <xf numFmtId="165" fontId="0" fillId="0" borderId="0" xfId="0" applyNumberFormat="1" applyFont="1" applyAlignment="1" applyProtection="1"/>
    <xf numFmtId="0" fontId="1" fillId="4" borderId="16" xfId="0" applyFont="1" applyFill="1" applyBorder="1" applyAlignment="1" applyProtection="1">
      <alignment horizontal="right"/>
    </xf>
    <xf numFmtId="0" fontId="1" fillId="4" borderId="17" xfId="0" applyFont="1" applyFill="1" applyBorder="1" applyAlignment="1" applyProtection="1"/>
    <xf numFmtId="9" fontId="1" fillId="4" borderId="18" xfId="0" applyNumberFormat="1" applyFont="1" applyFill="1" applyBorder="1" applyAlignment="1" applyProtection="1"/>
    <xf numFmtId="0" fontId="2" fillId="0" borderId="0" xfId="0" applyFont="1" applyAlignment="1" applyProtection="1"/>
    <xf numFmtId="0" fontId="0" fillId="0" borderId="5" xfId="0" applyFont="1" applyBorder="1" applyAlignment="1" applyProtection="1">
      <alignment wrapText="1"/>
    </xf>
    <xf numFmtId="164" fontId="0" fillId="0" borderId="13" xfId="0" applyNumberFormat="1" applyFont="1" applyBorder="1" applyAlignment="1" applyProtection="1"/>
    <xf numFmtId="0" fontId="0" fillId="0" borderId="0" xfId="0" applyFont="1" applyAlignment="1" applyProtection="1"/>
    <xf numFmtId="166" fontId="0" fillId="0" borderId="0" xfId="0" applyNumberFormat="1" applyFont="1" applyAlignment="1" applyProtection="1"/>
    <xf numFmtId="164" fontId="0" fillId="4" borderId="20" xfId="0" applyNumberFormat="1" applyFont="1" applyFill="1" applyBorder="1" applyAlignment="1" applyProtection="1"/>
    <xf numFmtId="167" fontId="0" fillId="4" borderId="19" xfId="0" applyNumberFormat="1" applyFont="1" applyFill="1" applyBorder="1" applyAlignment="1" applyProtection="1"/>
    <xf numFmtId="0" fontId="0" fillId="4" borderId="21" xfId="0" applyFont="1" applyFill="1" applyBorder="1" applyAlignment="1" applyProtection="1"/>
    <xf numFmtId="164" fontId="0" fillId="0" borderId="0" xfId="0" applyNumberFormat="1" applyFont="1" applyAlignment="1" applyProtection="1"/>
    <xf numFmtId="0" fontId="0" fillId="0" borderId="0" xfId="0" applyFont="1" applyAlignment="1" applyProtection="1">
      <alignment wrapText="1"/>
    </xf>
    <xf numFmtId="0" fontId="0" fillId="5" borderId="6" xfId="0" applyFont="1" applyFill="1" applyBorder="1" applyAlignment="1" applyProtection="1"/>
    <xf numFmtId="0" fontId="0" fillId="5" borderId="7" xfId="0" applyFont="1" applyFill="1" applyBorder="1" applyAlignment="1" applyProtection="1"/>
    <xf numFmtId="0" fontId="0" fillId="5" borderId="8" xfId="0" applyFont="1" applyFill="1" applyBorder="1" applyAlignment="1" applyProtection="1"/>
    <xf numFmtId="0" fontId="0" fillId="5" borderId="12" xfId="0" applyFont="1" applyFill="1" applyBorder="1" applyAlignment="1" applyProtection="1"/>
    <xf numFmtId="0" fontId="0" fillId="5" borderId="0" xfId="0" applyFont="1" applyFill="1" applyBorder="1" applyAlignment="1" applyProtection="1"/>
    <xf numFmtId="0" fontId="0" fillId="5" borderId="13" xfId="0" applyFont="1" applyFill="1" applyBorder="1" applyAlignment="1" applyProtection="1"/>
    <xf numFmtId="0" fontId="0" fillId="6" borderId="12" xfId="0" applyFont="1" applyFill="1" applyBorder="1" applyAlignment="1" applyProtection="1"/>
    <xf numFmtId="1" fontId="0" fillId="6" borderId="0" xfId="0" applyNumberFormat="1" applyFont="1" applyFill="1" applyBorder="1" applyAlignment="1" applyProtection="1"/>
    <xf numFmtId="0" fontId="0" fillId="6" borderId="13" xfId="0" applyFont="1" applyFill="1" applyBorder="1" applyAlignment="1" applyProtection="1"/>
    <xf numFmtId="0" fontId="0" fillId="7" borderId="6" xfId="0" applyFont="1" applyFill="1" applyBorder="1" applyAlignment="1" applyProtection="1"/>
    <xf numFmtId="167" fontId="0" fillId="7" borderId="7" xfId="0" applyNumberFormat="1" applyFont="1" applyFill="1" applyBorder="1" applyAlignment="1" applyProtection="1"/>
    <xf numFmtId="0" fontId="0" fillId="7" borderId="8" xfId="0" applyFont="1" applyFill="1" applyBorder="1" applyAlignment="1" applyProtection="1"/>
    <xf numFmtId="10" fontId="0" fillId="0" borderId="5" xfId="0" applyNumberFormat="1" applyFont="1" applyBorder="1" applyAlignment="1" applyProtection="1"/>
    <xf numFmtId="168" fontId="0" fillId="0" borderId="0" xfId="0" applyNumberFormat="1" applyAlignment="1" applyProtection="1"/>
    <xf numFmtId="0" fontId="0" fillId="0" borderId="19" xfId="0" applyFont="1" applyBorder="1" applyAlignment="1" applyProtection="1">
      <alignment horizontal="center"/>
    </xf>
    <xf numFmtId="0" fontId="1" fillId="2" borderId="2" xfId="0" applyFont="1" applyFill="1" applyBorder="1" applyAlignment="1" applyProtection="1">
      <alignment horizontal="center"/>
    </xf>
    <xf numFmtId="0" fontId="0" fillId="0" borderId="22" xfId="0" applyFont="1" applyBorder="1" applyAlignment="1" applyProtection="1"/>
    <xf numFmtId="0" fontId="0" fillId="0" borderId="23" xfId="0" applyFont="1" applyBorder="1" applyAlignment="1" applyProtection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5B3D7"/>
      <rgbColor rgb="FF993366"/>
      <rgbColor rgb="FFFFFFCC"/>
      <rgbColor rgb="FFCCFFFF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6E3BC"/>
      <rgbColor rgb="FFFFFF99"/>
      <rgbColor rgb="FF8DB3E2"/>
      <rgbColor rgb="FFFF99CC"/>
      <rgbColor rgb="FFCC99FF"/>
      <rgbColor rgb="FFFBD4B4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1000"/>
  <sheetViews>
    <sheetView tabSelected="1" zoomScaleNormal="100" workbookViewId="0">
      <selection activeCell="B10" sqref="B10"/>
    </sheetView>
  </sheetViews>
  <sheetFormatPr defaultColWidth="14.42578125" defaultRowHeight="15" x14ac:dyDescent="0.25"/>
  <cols>
    <col min="1" max="1" width="45.42578125" style="1" customWidth="1"/>
    <col min="2" max="2" width="25.42578125" style="1" bestFit="1" customWidth="1"/>
    <col min="3" max="3" width="35.5703125" style="1" customWidth="1"/>
    <col min="4" max="4" width="34.140625" style="1" customWidth="1"/>
    <col min="5" max="5" width="11.28515625" style="1" customWidth="1"/>
    <col min="6" max="6" width="17" style="1" customWidth="1"/>
    <col min="7" max="7" width="8.140625" style="1" customWidth="1"/>
    <col min="8" max="8" width="18.28515625" style="1" customWidth="1"/>
    <col min="9" max="9" width="20.85546875" style="1" customWidth="1"/>
    <col min="10" max="10" width="17.85546875" style="1" customWidth="1"/>
    <col min="11" max="11" width="19.5703125" style="1" customWidth="1"/>
    <col min="12" max="12" width="16.42578125" style="1" customWidth="1"/>
    <col min="13" max="13" width="18" style="1" customWidth="1"/>
    <col min="14" max="14" width="2.28515625" style="1" customWidth="1"/>
    <col min="15" max="15" width="2.7109375" style="1" customWidth="1"/>
    <col min="16" max="16" width="10.140625" style="1" customWidth="1"/>
    <col min="17" max="17" width="8.7109375" style="1" customWidth="1"/>
    <col min="18" max="18" width="2.85546875" style="1" customWidth="1"/>
    <col min="19" max="19" width="16.7109375" style="1" customWidth="1"/>
    <col min="20" max="20" width="18.7109375" style="1" customWidth="1"/>
    <col min="21" max="21" width="14.28515625" style="1" customWidth="1"/>
    <col min="22" max="22" width="18.7109375" style="1" customWidth="1"/>
    <col min="23" max="23" width="14.5703125" style="1" customWidth="1"/>
    <col min="24" max="26" width="8.7109375" style="1" customWidth="1"/>
  </cols>
  <sheetData>
    <row r="1" spans="1:23" ht="75" x14ac:dyDescent="0.25">
      <c r="A1" s="2" t="s">
        <v>0</v>
      </c>
      <c r="B1" s="60" t="s">
        <v>44</v>
      </c>
      <c r="C1" s="3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5" t="s">
        <v>43</v>
      </c>
      <c r="J1" s="5" t="s">
        <v>7</v>
      </c>
      <c r="K1" s="4" t="s">
        <v>8</v>
      </c>
      <c r="L1" s="5" t="s">
        <v>9</v>
      </c>
      <c r="M1" s="6" t="s">
        <v>10</v>
      </c>
      <c r="P1" s="7" t="s">
        <v>11</v>
      </c>
      <c r="Q1" s="7" t="s">
        <v>12</v>
      </c>
      <c r="S1" s="8" t="s">
        <v>13</v>
      </c>
      <c r="T1" s="9" t="s">
        <v>14</v>
      </c>
      <c r="U1" s="10" t="s">
        <v>15</v>
      </c>
    </row>
    <row r="2" spans="1:23" ht="30" x14ac:dyDescent="0.25">
      <c r="A2" s="11" t="s">
        <v>0</v>
      </c>
      <c r="B2" s="61"/>
      <c r="C2" s="12" t="s">
        <v>1</v>
      </c>
      <c r="D2" s="13" t="s">
        <v>16</v>
      </c>
      <c r="E2" s="14">
        <v>0</v>
      </c>
      <c r="F2" s="14">
        <v>0</v>
      </c>
      <c r="G2" s="14" t="s">
        <v>17</v>
      </c>
      <c r="H2" s="15">
        <f t="shared" ref="H2:H65" si="0">E2*F2</f>
        <v>0</v>
      </c>
      <c r="I2" s="16">
        <v>0</v>
      </c>
      <c r="J2" s="16">
        <f t="shared" ref="J2:J65" si="1">I2*H2</f>
        <v>0</v>
      </c>
      <c r="K2" s="17">
        <f t="shared" ref="K2:K65" si="2">IF(M2="товар",$Q$4, IF(M2="м/к",$Q$2,IF(M2="комп",$Q$3,IF(M2="услуга",$Q$5,0))))</f>
        <v>1</v>
      </c>
      <c r="L2" s="18">
        <f t="shared" ref="L2:L65" si="3">(1+K2)*J2</f>
        <v>0</v>
      </c>
      <c r="M2" s="19" t="s">
        <v>18</v>
      </c>
      <c r="P2" s="20" t="s">
        <v>18</v>
      </c>
      <c r="Q2" s="21">
        <v>1</v>
      </c>
      <c r="S2" s="22">
        <f>SUM(J:J)</f>
        <v>0</v>
      </c>
      <c r="T2" s="23">
        <f>SUM(L:L)</f>
        <v>0</v>
      </c>
      <c r="U2" s="24">
        <f>T2-S2</f>
        <v>0</v>
      </c>
    </row>
    <row r="3" spans="1:23" ht="30" x14ac:dyDescent="0.25">
      <c r="A3" s="25" t="s">
        <v>0</v>
      </c>
      <c r="B3" s="62"/>
      <c r="C3" s="26" t="s">
        <v>1</v>
      </c>
      <c r="D3" s="27" t="s">
        <v>19</v>
      </c>
      <c r="E3" s="27">
        <v>0</v>
      </c>
      <c r="F3" s="27">
        <v>0</v>
      </c>
      <c r="G3" s="27" t="s">
        <v>17</v>
      </c>
      <c r="H3" s="27">
        <f t="shared" si="0"/>
        <v>0</v>
      </c>
      <c r="I3" s="28">
        <v>0</v>
      </c>
      <c r="J3" s="28">
        <f t="shared" si="1"/>
        <v>0</v>
      </c>
      <c r="K3" s="29">
        <f t="shared" si="2"/>
        <v>1</v>
      </c>
      <c r="L3" s="28">
        <f t="shared" si="3"/>
        <v>0</v>
      </c>
      <c r="M3" s="30" t="s">
        <v>18</v>
      </c>
      <c r="N3" s="31"/>
      <c r="P3" s="20" t="s">
        <v>20</v>
      </c>
      <c r="Q3" s="21">
        <v>0.5</v>
      </c>
      <c r="S3" s="32"/>
      <c r="T3" s="33"/>
      <c r="U3" s="34" t="e">
        <f>U2/T2</f>
        <v>#DIV/0!</v>
      </c>
      <c r="V3" s="35"/>
    </row>
    <row r="4" spans="1:23" ht="30" x14ac:dyDescent="0.25">
      <c r="A4" s="25" t="s">
        <v>0</v>
      </c>
      <c r="B4" s="62"/>
      <c r="C4" s="26" t="s">
        <v>1</v>
      </c>
      <c r="D4" s="36" t="s">
        <v>2</v>
      </c>
      <c r="E4" s="27">
        <v>0</v>
      </c>
      <c r="F4" s="27">
        <v>0</v>
      </c>
      <c r="G4" s="27" t="s">
        <v>21</v>
      </c>
      <c r="H4" s="27">
        <f t="shared" si="0"/>
        <v>0</v>
      </c>
      <c r="I4" s="28">
        <v>0</v>
      </c>
      <c r="J4" s="28">
        <f t="shared" si="1"/>
        <v>0</v>
      </c>
      <c r="K4" s="29">
        <f t="shared" si="2"/>
        <v>0.5</v>
      </c>
      <c r="L4" s="28">
        <f t="shared" si="3"/>
        <v>0</v>
      </c>
      <c r="M4" s="30" t="s">
        <v>20</v>
      </c>
      <c r="N4" s="31"/>
      <c r="P4" s="20" t="s">
        <v>22</v>
      </c>
      <c r="Q4" s="21">
        <v>0.3</v>
      </c>
      <c r="S4" s="59" t="s">
        <v>23</v>
      </c>
      <c r="T4" s="59"/>
      <c r="U4" s="37" t="e">
        <f>(U2/1.2)/(Базовый!T5/22)</f>
        <v>#DIV/0!</v>
      </c>
      <c r="V4" s="38"/>
      <c r="W4" s="39"/>
    </row>
    <row r="5" spans="1:23" ht="30" x14ac:dyDescent="0.25">
      <c r="A5" s="25" t="s">
        <v>0</v>
      </c>
      <c r="B5" s="62"/>
      <c r="C5" s="26" t="s">
        <v>1</v>
      </c>
      <c r="D5" s="36" t="s">
        <v>24</v>
      </c>
      <c r="E5" s="27">
        <v>0</v>
      </c>
      <c r="F5" s="27">
        <v>0</v>
      </c>
      <c r="G5" s="27" t="s">
        <v>21</v>
      </c>
      <c r="H5" s="27">
        <f t="shared" si="0"/>
        <v>0</v>
      </c>
      <c r="I5" s="28">
        <v>0</v>
      </c>
      <c r="J5" s="28">
        <f t="shared" si="1"/>
        <v>0</v>
      </c>
      <c r="K5" s="29">
        <f t="shared" si="2"/>
        <v>0.3</v>
      </c>
      <c r="L5" s="28">
        <f t="shared" si="3"/>
        <v>0</v>
      </c>
      <c r="M5" s="30" t="s">
        <v>22</v>
      </c>
      <c r="N5" s="31"/>
      <c r="P5" s="20" t="s">
        <v>25</v>
      </c>
      <c r="Q5" s="21">
        <v>0.1</v>
      </c>
      <c r="S5" s="40" t="s">
        <v>26</v>
      </c>
      <c r="T5" s="41">
        <f>SUMIF(G:G,"смен",H:H)</f>
        <v>0</v>
      </c>
      <c r="U5" s="42" t="s">
        <v>27</v>
      </c>
    </row>
    <row r="6" spans="1:23" ht="36.6" customHeight="1" x14ac:dyDescent="0.25">
      <c r="A6" s="25" t="s">
        <v>0</v>
      </c>
      <c r="B6" s="62"/>
      <c r="C6" s="26" t="s">
        <v>1</v>
      </c>
      <c r="D6" s="36" t="s">
        <v>28</v>
      </c>
      <c r="E6" s="27">
        <v>0</v>
      </c>
      <c r="F6" s="27">
        <v>0</v>
      </c>
      <c r="G6" s="27" t="s">
        <v>27</v>
      </c>
      <c r="H6" s="27">
        <f t="shared" si="0"/>
        <v>0</v>
      </c>
      <c r="I6" s="28">
        <v>0</v>
      </c>
      <c r="J6" s="28">
        <f t="shared" si="1"/>
        <v>0</v>
      </c>
      <c r="K6" s="29">
        <f t="shared" si="2"/>
        <v>0.1</v>
      </c>
      <c r="L6" s="28">
        <f t="shared" si="3"/>
        <v>0</v>
      </c>
      <c r="M6" s="30" t="s">
        <v>25</v>
      </c>
    </row>
    <row r="7" spans="1:23" ht="15.75" customHeight="1" x14ac:dyDescent="0.25">
      <c r="E7" s="38"/>
      <c r="H7" s="27">
        <f t="shared" si="0"/>
        <v>0</v>
      </c>
      <c r="I7" s="43"/>
      <c r="J7" s="28">
        <f t="shared" si="1"/>
        <v>0</v>
      </c>
      <c r="K7" s="29">
        <f t="shared" si="2"/>
        <v>0</v>
      </c>
      <c r="L7" s="28">
        <f t="shared" si="3"/>
        <v>0</v>
      </c>
    </row>
    <row r="8" spans="1:23" ht="15.75" customHeight="1" x14ac:dyDescent="0.25">
      <c r="E8" s="38"/>
      <c r="H8" s="27">
        <f t="shared" si="0"/>
        <v>0</v>
      </c>
      <c r="I8" s="43"/>
      <c r="J8" s="28">
        <f t="shared" si="1"/>
        <v>0</v>
      </c>
      <c r="K8" s="29">
        <f t="shared" si="2"/>
        <v>0</v>
      </c>
      <c r="L8" s="28">
        <f t="shared" si="3"/>
        <v>0</v>
      </c>
    </row>
    <row r="9" spans="1:23" ht="15.75" customHeight="1" x14ac:dyDescent="0.25">
      <c r="E9" s="38"/>
      <c r="H9" s="27">
        <f t="shared" si="0"/>
        <v>0</v>
      </c>
      <c r="I9" s="43"/>
      <c r="J9" s="28">
        <f t="shared" si="1"/>
        <v>0</v>
      </c>
      <c r="K9" s="29">
        <f t="shared" si="2"/>
        <v>0</v>
      </c>
      <c r="L9" s="28">
        <f t="shared" si="3"/>
        <v>0</v>
      </c>
    </row>
    <row r="10" spans="1:23" ht="15.75" customHeight="1" x14ac:dyDescent="0.25">
      <c r="E10" s="38"/>
      <c r="H10" s="27">
        <f t="shared" si="0"/>
        <v>0</v>
      </c>
      <c r="I10" s="43"/>
      <c r="J10" s="28">
        <f t="shared" si="1"/>
        <v>0</v>
      </c>
      <c r="K10" s="29">
        <f t="shared" si="2"/>
        <v>0</v>
      </c>
      <c r="L10" s="28">
        <f t="shared" si="3"/>
        <v>0</v>
      </c>
    </row>
    <row r="11" spans="1:23" ht="15.75" customHeight="1" x14ac:dyDescent="0.25">
      <c r="E11" s="38"/>
      <c r="H11" s="27">
        <f t="shared" si="0"/>
        <v>0</v>
      </c>
      <c r="I11" s="43"/>
      <c r="J11" s="28">
        <f t="shared" si="1"/>
        <v>0</v>
      </c>
      <c r="K11" s="29">
        <f t="shared" si="2"/>
        <v>0</v>
      </c>
      <c r="L11" s="28">
        <f t="shared" si="3"/>
        <v>0</v>
      </c>
    </row>
    <row r="12" spans="1:23" ht="15.75" customHeight="1" x14ac:dyDescent="0.25">
      <c r="E12" s="38"/>
      <c r="H12" s="27">
        <f t="shared" si="0"/>
        <v>0</v>
      </c>
      <c r="I12" s="43"/>
      <c r="J12" s="28">
        <f t="shared" si="1"/>
        <v>0</v>
      </c>
      <c r="K12" s="29">
        <f t="shared" si="2"/>
        <v>0</v>
      </c>
      <c r="L12" s="28">
        <f t="shared" si="3"/>
        <v>0</v>
      </c>
    </row>
    <row r="13" spans="1:23" ht="15.75" customHeight="1" x14ac:dyDescent="0.25">
      <c r="E13" s="38"/>
      <c r="H13" s="27">
        <f t="shared" si="0"/>
        <v>0</v>
      </c>
      <c r="I13" s="43"/>
      <c r="J13" s="28">
        <f t="shared" si="1"/>
        <v>0</v>
      </c>
      <c r="K13" s="29">
        <f t="shared" si="2"/>
        <v>0</v>
      </c>
      <c r="L13" s="28">
        <f t="shared" si="3"/>
        <v>0</v>
      </c>
    </row>
    <row r="14" spans="1:23" ht="15.75" customHeight="1" x14ac:dyDescent="0.25">
      <c r="E14" s="38"/>
      <c r="H14" s="27">
        <f t="shared" si="0"/>
        <v>0</v>
      </c>
      <c r="I14" s="43"/>
      <c r="J14" s="28">
        <f t="shared" si="1"/>
        <v>0</v>
      </c>
      <c r="K14" s="29">
        <f t="shared" si="2"/>
        <v>0</v>
      </c>
      <c r="L14" s="28">
        <f t="shared" si="3"/>
        <v>0</v>
      </c>
    </row>
    <row r="15" spans="1:23" ht="15.75" customHeight="1" x14ac:dyDescent="0.25">
      <c r="E15" s="38"/>
      <c r="H15" s="27">
        <f t="shared" si="0"/>
        <v>0</v>
      </c>
      <c r="I15" s="43"/>
      <c r="J15" s="28">
        <f t="shared" si="1"/>
        <v>0</v>
      </c>
      <c r="K15" s="29">
        <f t="shared" si="2"/>
        <v>0</v>
      </c>
      <c r="L15" s="28">
        <f t="shared" si="3"/>
        <v>0</v>
      </c>
    </row>
    <row r="16" spans="1:23" ht="15.75" customHeight="1" x14ac:dyDescent="0.25">
      <c r="E16" s="38"/>
      <c r="H16" s="27">
        <f t="shared" si="0"/>
        <v>0</v>
      </c>
      <c r="I16" s="43"/>
      <c r="J16" s="28">
        <f t="shared" si="1"/>
        <v>0</v>
      </c>
      <c r="K16" s="29">
        <f t="shared" si="2"/>
        <v>0</v>
      </c>
      <c r="L16" s="28">
        <f t="shared" si="3"/>
        <v>0</v>
      </c>
    </row>
    <row r="17" spans="5:12" ht="15.75" customHeight="1" x14ac:dyDescent="0.25">
      <c r="E17" s="38"/>
      <c r="H17" s="27">
        <f t="shared" si="0"/>
        <v>0</v>
      </c>
      <c r="I17" s="43"/>
      <c r="J17" s="28">
        <f t="shared" si="1"/>
        <v>0</v>
      </c>
      <c r="K17" s="29">
        <f t="shared" si="2"/>
        <v>0</v>
      </c>
      <c r="L17" s="28">
        <f t="shared" si="3"/>
        <v>0</v>
      </c>
    </row>
    <row r="18" spans="5:12" ht="15.75" customHeight="1" x14ac:dyDescent="0.25">
      <c r="E18" s="38"/>
      <c r="H18" s="27">
        <f t="shared" si="0"/>
        <v>0</v>
      </c>
      <c r="I18" s="43"/>
      <c r="J18" s="28">
        <f t="shared" si="1"/>
        <v>0</v>
      </c>
      <c r="K18" s="29">
        <f t="shared" si="2"/>
        <v>0</v>
      </c>
      <c r="L18" s="28">
        <f t="shared" si="3"/>
        <v>0</v>
      </c>
    </row>
    <row r="19" spans="5:12" ht="15.75" customHeight="1" x14ac:dyDescent="0.25">
      <c r="E19" s="38"/>
      <c r="H19" s="27">
        <f t="shared" si="0"/>
        <v>0</v>
      </c>
      <c r="I19" s="43"/>
      <c r="J19" s="28">
        <f t="shared" si="1"/>
        <v>0</v>
      </c>
      <c r="K19" s="29">
        <f t="shared" si="2"/>
        <v>0</v>
      </c>
      <c r="L19" s="28">
        <f t="shared" si="3"/>
        <v>0</v>
      </c>
    </row>
    <row r="20" spans="5:12" ht="15.75" customHeight="1" x14ac:dyDescent="0.25">
      <c r="E20" s="38"/>
      <c r="H20" s="27">
        <f t="shared" si="0"/>
        <v>0</v>
      </c>
      <c r="I20" s="43"/>
      <c r="J20" s="28">
        <f t="shared" si="1"/>
        <v>0</v>
      </c>
      <c r="K20" s="29">
        <f t="shared" si="2"/>
        <v>0</v>
      </c>
      <c r="L20" s="28">
        <f t="shared" si="3"/>
        <v>0</v>
      </c>
    </row>
    <row r="21" spans="5:12" ht="15.75" customHeight="1" x14ac:dyDescent="0.25">
      <c r="E21" s="38"/>
      <c r="H21" s="27">
        <f t="shared" si="0"/>
        <v>0</v>
      </c>
      <c r="I21" s="43"/>
      <c r="J21" s="28">
        <f t="shared" si="1"/>
        <v>0</v>
      </c>
      <c r="K21" s="29">
        <f t="shared" si="2"/>
        <v>0</v>
      </c>
      <c r="L21" s="28">
        <f t="shared" si="3"/>
        <v>0</v>
      </c>
    </row>
    <row r="22" spans="5:12" ht="15.75" customHeight="1" x14ac:dyDescent="0.25">
      <c r="E22" s="38"/>
      <c r="H22" s="27">
        <f t="shared" si="0"/>
        <v>0</v>
      </c>
      <c r="I22" s="43"/>
      <c r="J22" s="28">
        <f t="shared" si="1"/>
        <v>0</v>
      </c>
      <c r="K22" s="29">
        <f t="shared" si="2"/>
        <v>0</v>
      </c>
      <c r="L22" s="28">
        <f t="shared" si="3"/>
        <v>0</v>
      </c>
    </row>
    <row r="23" spans="5:12" ht="15.75" customHeight="1" x14ac:dyDescent="0.25">
      <c r="E23" s="38"/>
      <c r="H23" s="27">
        <f t="shared" si="0"/>
        <v>0</v>
      </c>
      <c r="I23" s="43"/>
      <c r="J23" s="28">
        <f t="shared" si="1"/>
        <v>0</v>
      </c>
      <c r="K23" s="29">
        <f t="shared" si="2"/>
        <v>0</v>
      </c>
      <c r="L23" s="28">
        <f t="shared" si="3"/>
        <v>0</v>
      </c>
    </row>
    <row r="24" spans="5:12" ht="15.75" customHeight="1" x14ac:dyDescent="0.25">
      <c r="E24" s="38"/>
      <c r="H24" s="27">
        <f t="shared" si="0"/>
        <v>0</v>
      </c>
      <c r="I24" s="43"/>
      <c r="J24" s="28">
        <f t="shared" si="1"/>
        <v>0</v>
      </c>
      <c r="K24" s="29">
        <f t="shared" si="2"/>
        <v>0</v>
      </c>
      <c r="L24" s="28">
        <f t="shared" si="3"/>
        <v>0</v>
      </c>
    </row>
    <row r="25" spans="5:12" ht="15.75" customHeight="1" x14ac:dyDescent="0.25">
      <c r="E25" s="38"/>
      <c r="H25" s="27">
        <f t="shared" si="0"/>
        <v>0</v>
      </c>
      <c r="I25" s="43"/>
      <c r="J25" s="28">
        <f t="shared" si="1"/>
        <v>0</v>
      </c>
      <c r="K25" s="29">
        <f t="shared" si="2"/>
        <v>0</v>
      </c>
      <c r="L25" s="28">
        <f t="shared" si="3"/>
        <v>0</v>
      </c>
    </row>
    <row r="26" spans="5:12" ht="15.75" customHeight="1" x14ac:dyDescent="0.25">
      <c r="E26" s="38"/>
      <c r="H26" s="27">
        <f t="shared" si="0"/>
        <v>0</v>
      </c>
      <c r="I26" s="43"/>
      <c r="J26" s="28">
        <f t="shared" si="1"/>
        <v>0</v>
      </c>
      <c r="K26" s="29">
        <f t="shared" si="2"/>
        <v>0</v>
      </c>
      <c r="L26" s="28">
        <f t="shared" si="3"/>
        <v>0</v>
      </c>
    </row>
    <row r="27" spans="5:12" ht="15.75" customHeight="1" x14ac:dyDescent="0.25">
      <c r="E27" s="38"/>
      <c r="H27" s="27">
        <f t="shared" si="0"/>
        <v>0</v>
      </c>
      <c r="I27" s="43"/>
      <c r="J27" s="28">
        <f t="shared" si="1"/>
        <v>0</v>
      </c>
      <c r="K27" s="29">
        <f t="shared" si="2"/>
        <v>0</v>
      </c>
      <c r="L27" s="28">
        <f t="shared" si="3"/>
        <v>0</v>
      </c>
    </row>
    <row r="28" spans="5:12" ht="15.75" customHeight="1" x14ac:dyDescent="0.25">
      <c r="E28" s="38"/>
      <c r="H28" s="27">
        <f t="shared" si="0"/>
        <v>0</v>
      </c>
      <c r="I28" s="43"/>
      <c r="J28" s="28">
        <f t="shared" si="1"/>
        <v>0</v>
      </c>
      <c r="K28" s="29">
        <f t="shared" si="2"/>
        <v>0</v>
      </c>
      <c r="L28" s="28">
        <f t="shared" si="3"/>
        <v>0</v>
      </c>
    </row>
    <row r="29" spans="5:12" ht="15.75" customHeight="1" x14ac:dyDescent="0.25">
      <c r="E29" s="38"/>
      <c r="H29" s="27">
        <f t="shared" si="0"/>
        <v>0</v>
      </c>
      <c r="I29" s="43"/>
      <c r="J29" s="28">
        <f t="shared" si="1"/>
        <v>0</v>
      </c>
      <c r="K29" s="29">
        <f t="shared" si="2"/>
        <v>0</v>
      </c>
      <c r="L29" s="28">
        <f t="shared" si="3"/>
        <v>0</v>
      </c>
    </row>
    <row r="30" spans="5:12" ht="15.75" customHeight="1" x14ac:dyDescent="0.25">
      <c r="E30" s="38"/>
      <c r="H30" s="27">
        <f t="shared" si="0"/>
        <v>0</v>
      </c>
      <c r="I30" s="43"/>
      <c r="J30" s="28">
        <f t="shared" si="1"/>
        <v>0</v>
      </c>
      <c r="K30" s="29">
        <f t="shared" si="2"/>
        <v>0</v>
      </c>
      <c r="L30" s="28">
        <f t="shared" si="3"/>
        <v>0</v>
      </c>
    </row>
    <row r="31" spans="5:12" ht="15.75" customHeight="1" x14ac:dyDescent="0.25">
      <c r="E31" s="38"/>
      <c r="H31" s="27">
        <f t="shared" si="0"/>
        <v>0</v>
      </c>
      <c r="I31" s="43"/>
      <c r="J31" s="28">
        <f t="shared" si="1"/>
        <v>0</v>
      </c>
      <c r="K31" s="29">
        <f t="shared" si="2"/>
        <v>0</v>
      </c>
      <c r="L31" s="28">
        <f t="shared" si="3"/>
        <v>0</v>
      </c>
    </row>
    <row r="32" spans="5:12" ht="15.75" customHeight="1" x14ac:dyDescent="0.25">
      <c r="E32" s="38"/>
      <c r="H32" s="27">
        <f t="shared" si="0"/>
        <v>0</v>
      </c>
      <c r="I32" s="43"/>
      <c r="J32" s="28">
        <f t="shared" si="1"/>
        <v>0</v>
      </c>
      <c r="K32" s="29">
        <f t="shared" si="2"/>
        <v>0</v>
      </c>
      <c r="L32" s="28">
        <f t="shared" si="3"/>
        <v>0</v>
      </c>
    </row>
    <row r="33" spans="5:12" ht="15.75" customHeight="1" x14ac:dyDescent="0.25">
      <c r="E33" s="38"/>
      <c r="H33" s="27">
        <f t="shared" si="0"/>
        <v>0</v>
      </c>
      <c r="I33" s="43"/>
      <c r="J33" s="28">
        <f t="shared" si="1"/>
        <v>0</v>
      </c>
      <c r="K33" s="29">
        <f t="shared" si="2"/>
        <v>0</v>
      </c>
      <c r="L33" s="28">
        <f t="shared" si="3"/>
        <v>0</v>
      </c>
    </row>
    <row r="34" spans="5:12" ht="15.75" customHeight="1" x14ac:dyDescent="0.25">
      <c r="E34" s="38"/>
      <c r="H34" s="27">
        <f t="shared" si="0"/>
        <v>0</v>
      </c>
      <c r="I34" s="43"/>
      <c r="J34" s="28">
        <f t="shared" si="1"/>
        <v>0</v>
      </c>
      <c r="K34" s="29">
        <f t="shared" si="2"/>
        <v>0</v>
      </c>
      <c r="L34" s="28">
        <f t="shared" si="3"/>
        <v>0</v>
      </c>
    </row>
    <row r="35" spans="5:12" ht="15.75" customHeight="1" x14ac:dyDescent="0.25">
      <c r="E35" s="38"/>
      <c r="H35" s="27">
        <f t="shared" si="0"/>
        <v>0</v>
      </c>
      <c r="I35" s="43"/>
      <c r="J35" s="28">
        <f t="shared" si="1"/>
        <v>0</v>
      </c>
      <c r="K35" s="29">
        <f t="shared" si="2"/>
        <v>0</v>
      </c>
      <c r="L35" s="28">
        <f t="shared" si="3"/>
        <v>0</v>
      </c>
    </row>
    <row r="36" spans="5:12" ht="15.75" customHeight="1" x14ac:dyDescent="0.25">
      <c r="E36" s="38"/>
      <c r="H36" s="27">
        <f t="shared" si="0"/>
        <v>0</v>
      </c>
      <c r="I36" s="43"/>
      <c r="J36" s="28">
        <f t="shared" si="1"/>
        <v>0</v>
      </c>
      <c r="K36" s="29">
        <f t="shared" si="2"/>
        <v>0</v>
      </c>
      <c r="L36" s="28">
        <f t="shared" si="3"/>
        <v>0</v>
      </c>
    </row>
    <row r="37" spans="5:12" ht="15.75" customHeight="1" x14ac:dyDescent="0.25">
      <c r="E37" s="38"/>
      <c r="H37" s="27">
        <f t="shared" si="0"/>
        <v>0</v>
      </c>
      <c r="I37" s="43"/>
      <c r="J37" s="28">
        <f t="shared" si="1"/>
        <v>0</v>
      </c>
      <c r="K37" s="29">
        <f t="shared" si="2"/>
        <v>0</v>
      </c>
      <c r="L37" s="28">
        <f t="shared" si="3"/>
        <v>0</v>
      </c>
    </row>
    <row r="38" spans="5:12" ht="15.75" customHeight="1" x14ac:dyDescent="0.25">
      <c r="E38" s="38"/>
      <c r="H38" s="27">
        <f t="shared" si="0"/>
        <v>0</v>
      </c>
      <c r="I38" s="43"/>
      <c r="J38" s="28">
        <f t="shared" si="1"/>
        <v>0</v>
      </c>
      <c r="K38" s="29">
        <f t="shared" si="2"/>
        <v>0</v>
      </c>
      <c r="L38" s="28">
        <f t="shared" si="3"/>
        <v>0</v>
      </c>
    </row>
    <row r="39" spans="5:12" ht="15.75" customHeight="1" x14ac:dyDescent="0.25">
      <c r="E39" s="38"/>
      <c r="H39" s="27">
        <f t="shared" si="0"/>
        <v>0</v>
      </c>
      <c r="I39" s="43"/>
      <c r="J39" s="28">
        <f t="shared" si="1"/>
        <v>0</v>
      </c>
      <c r="K39" s="29">
        <f t="shared" si="2"/>
        <v>0</v>
      </c>
      <c r="L39" s="28">
        <f t="shared" si="3"/>
        <v>0</v>
      </c>
    </row>
    <row r="40" spans="5:12" ht="15.75" customHeight="1" x14ac:dyDescent="0.25">
      <c r="E40" s="38"/>
      <c r="H40" s="27">
        <f t="shared" si="0"/>
        <v>0</v>
      </c>
      <c r="I40" s="43"/>
      <c r="J40" s="28">
        <f t="shared" si="1"/>
        <v>0</v>
      </c>
      <c r="K40" s="29">
        <f t="shared" si="2"/>
        <v>0</v>
      </c>
      <c r="L40" s="28">
        <f t="shared" si="3"/>
        <v>0</v>
      </c>
    </row>
    <row r="41" spans="5:12" ht="15.75" customHeight="1" x14ac:dyDescent="0.25">
      <c r="E41" s="38"/>
      <c r="H41" s="27">
        <f t="shared" si="0"/>
        <v>0</v>
      </c>
      <c r="I41" s="43"/>
      <c r="J41" s="28">
        <f t="shared" si="1"/>
        <v>0</v>
      </c>
      <c r="K41" s="29">
        <f t="shared" si="2"/>
        <v>0</v>
      </c>
      <c r="L41" s="28">
        <f t="shared" si="3"/>
        <v>0</v>
      </c>
    </row>
    <row r="42" spans="5:12" ht="15.75" customHeight="1" x14ac:dyDescent="0.25">
      <c r="E42" s="38"/>
      <c r="H42" s="27">
        <f t="shared" si="0"/>
        <v>0</v>
      </c>
      <c r="I42" s="43"/>
      <c r="J42" s="28">
        <f t="shared" si="1"/>
        <v>0</v>
      </c>
      <c r="K42" s="29">
        <f t="shared" si="2"/>
        <v>0</v>
      </c>
      <c r="L42" s="28">
        <f t="shared" si="3"/>
        <v>0</v>
      </c>
    </row>
    <row r="43" spans="5:12" ht="15.75" customHeight="1" x14ac:dyDescent="0.25">
      <c r="E43" s="38"/>
      <c r="H43" s="27">
        <f t="shared" si="0"/>
        <v>0</v>
      </c>
      <c r="I43" s="43"/>
      <c r="J43" s="28">
        <f t="shared" si="1"/>
        <v>0</v>
      </c>
      <c r="K43" s="29">
        <f t="shared" si="2"/>
        <v>0</v>
      </c>
      <c r="L43" s="28">
        <f t="shared" si="3"/>
        <v>0</v>
      </c>
    </row>
    <row r="44" spans="5:12" ht="15.75" customHeight="1" x14ac:dyDescent="0.25">
      <c r="E44" s="38"/>
      <c r="H44" s="27">
        <f t="shared" si="0"/>
        <v>0</v>
      </c>
      <c r="I44" s="43"/>
      <c r="J44" s="28">
        <f t="shared" si="1"/>
        <v>0</v>
      </c>
      <c r="K44" s="29">
        <f t="shared" si="2"/>
        <v>0</v>
      </c>
      <c r="L44" s="28">
        <f t="shared" si="3"/>
        <v>0</v>
      </c>
    </row>
    <row r="45" spans="5:12" ht="15.75" customHeight="1" x14ac:dyDescent="0.25">
      <c r="E45" s="38"/>
      <c r="H45" s="27">
        <f t="shared" si="0"/>
        <v>0</v>
      </c>
      <c r="I45" s="43"/>
      <c r="J45" s="28">
        <f t="shared" si="1"/>
        <v>0</v>
      </c>
      <c r="K45" s="29">
        <f t="shared" si="2"/>
        <v>0</v>
      </c>
      <c r="L45" s="28">
        <f t="shared" si="3"/>
        <v>0</v>
      </c>
    </row>
    <row r="46" spans="5:12" ht="15.75" customHeight="1" x14ac:dyDescent="0.25">
      <c r="E46" s="38"/>
      <c r="H46" s="27">
        <f t="shared" si="0"/>
        <v>0</v>
      </c>
      <c r="I46" s="43"/>
      <c r="J46" s="28">
        <f t="shared" si="1"/>
        <v>0</v>
      </c>
      <c r="K46" s="29">
        <f t="shared" si="2"/>
        <v>0</v>
      </c>
      <c r="L46" s="28">
        <f t="shared" si="3"/>
        <v>0</v>
      </c>
    </row>
    <row r="47" spans="5:12" ht="15.75" customHeight="1" x14ac:dyDescent="0.25">
      <c r="E47" s="38"/>
      <c r="H47" s="27">
        <f t="shared" si="0"/>
        <v>0</v>
      </c>
      <c r="I47" s="43"/>
      <c r="J47" s="28">
        <f t="shared" si="1"/>
        <v>0</v>
      </c>
      <c r="K47" s="29">
        <f t="shared" si="2"/>
        <v>0</v>
      </c>
      <c r="L47" s="28">
        <f t="shared" si="3"/>
        <v>0</v>
      </c>
    </row>
    <row r="48" spans="5:12" ht="15.75" customHeight="1" x14ac:dyDescent="0.25">
      <c r="E48" s="38"/>
      <c r="H48" s="27">
        <f t="shared" si="0"/>
        <v>0</v>
      </c>
      <c r="I48" s="43"/>
      <c r="J48" s="28">
        <f t="shared" si="1"/>
        <v>0</v>
      </c>
      <c r="K48" s="29">
        <f t="shared" si="2"/>
        <v>0</v>
      </c>
      <c r="L48" s="28">
        <f t="shared" si="3"/>
        <v>0</v>
      </c>
    </row>
    <row r="49" spans="5:12" ht="15.75" customHeight="1" x14ac:dyDescent="0.25">
      <c r="E49" s="38"/>
      <c r="H49" s="27">
        <f t="shared" si="0"/>
        <v>0</v>
      </c>
      <c r="I49" s="43"/>
      <c r="J49" s="28">
        <f t="shared" si="1"/>
        <v>0</v>
      </c>
      <c r="K49" s="29">
        <f t="shared" si="2"/>
        <v>0</v>
      </c>
      <c r="L49" s="28">
        <f t="shared" si="3"/>
        <v>0</v>
      </c>
    </row>
    <row r="50" spans="5:12" ht="15.75" customHeight="1" x14ac:dyDescent="0.25">
      <c r="E50" s="38"/>
      <c r="H50" s="27">
        <f t="shared" si="0"/>
        <v>0</v>
      </c>
      <c r="I50" s="43"/>
      <c r="J50" s="28">
        <f t="shared" si="1"/>
        <v>0</v>
      </c>
      <c r="K50" s="29">
        <f t="shared" si="2"/>
        <v>0</v>
      </c>
      <c r="L50" s="28">
        <f t="shared" si="3"/>
        <v>0</v>
      </c>
    </row>
    <row r="51" spans="5:12" ht="15.75" customHeight="1" x14ac:dyDescent="0.25">
      <c r="E51" s="38"/>
      <c r="H51" s="27">
        <f t="shared" si="0"/>
        <v>0</v>
      </c>
      <c r="I51" s="43"/>
      <c r="J51" s="28">
        <f t="shared" si="1"/>
        <v>0</v>
      </c>
      <c r="K51" s="29">
        <f t="shared" si="2"/>
        <v>0</v>
      </c>
      <c r="L51" s="28">
        <f t="shared" si="3"/>
        <v>0</v>
      </c>
    </row>
    <row r="52" spans="5:12" ht="15.75" customHeight="1" x14ac:dyDescent="0.25">
      <c r="E52" s="38"/>
      <c r="H52" s="27">
        <f t="shared" si="0"/>
        <v>0</v>
      </c>
      <c r="I52" s="43"/>
      <c r="J52" s="28">
        <f t="shared" si="1"/>
        <v>0</v>
      </c>
      <c r="K52" s="29">
        <f t="shared" si="2"/>
        <v>0</v>
      </c>
      <c r="L52" s="28">
        <f t="shared" si="3"/>
        <v>0</v>
      </c>
    </row>
    <row r="53" spans="5:12" ht="15.75" customHeight="1" x14ac:dyDescent="0.25">
      <c r="E53" s="38"/>
      <c r="H53" s="27">
        <f t="shared" si="0"/>
        <v>0</v>
      </c>
      <c r="I53" s="43"/>
      <c r="J53" s="28">
        <f t="shared" si="1"/>
        <v>0</v>
      </c>
      <c r="K53" s="29">
        <f t="shared" si="2"/>
        <v>0</v>
      </c>
      <c r="L53" s="28">
        <f t="shared" si="3"/>
        <v>0</v>
      </c>
    </row>
    <row r="54" spans="5:12" ht="15.75" customHeight="1" x14ac:dyDescent="0.25">
      <c r="E54" s="38"/>
      <c r="H54" s="27">
        <f t="shared" si="0"/>
        <v>0</v>
      </c>
      <c r="I54" s="43"/>
      <c r="J54" s="28">
        <f t="shared" si="1"/>
        <v>0</v>
      </c>
      <c r="K54" s="29">
        <f t="shared" si="2"/>
        <v>0</v>
      </c>
      <c r="L54" s="28">
        <f t="shared" si="3"/>
        <v>0</v>
      </c>
    </row>
    <row r="55" spans="5:12" ht="15.75" customHeight="1" x14ac:dyDescent="0.25">
      <c r="E55" s="38"/>
      <c r="H55" s="27">
        <f t="shared" si="0"/>
        <v>0</v>
      </c>
      <c r="I55" s="43"/>
      <c r="J55" s="28">
        <f t="shared" si="1"/>
        <v>0</v>
      </c>
      <c r="K55" s="29">
        <f t="shared" si="2"/>
        <v>0</v>
      </c>
      <c r="L55" s="28">
        <f t="shared" si="3"/>
        <v>0</v>
      </c>
    </row>
    <row r="56" spans="5:12" ht="15.75" customHeight="1" x14ac:dyDescent="0.25">
      <c r="E56" s="38"/>
      <c r="H56" s="27">
        <f t="shared" si="0"/>
        <v>0</v>
      </c>
      <c r="I56" s="43"/>
      <c r="J56" s="28">
        <f t="shared" si="1"/>
        <v>0</v>
      </c>
      <c r="K56" s="29">
        <f t="shared" si="2"/>
        <v>0</v>
      </c>
      <c r="L56" s="28">
        <f t="shared" si="3"/>
        <v>0</v>
      </c>
    </row>
    <row r="57" spans="5:12" ht="15.75" customHeight="1" x14ac:dyDescent="0.25">
      <c r="E57" s="38"/>
      <c r="H57" s="27">
        <f t="shared" si="0"/>
        <v>0</v>
      </c>
      <c r="I57" s="43"/>
      <c r="J57" s="28">
        <f t="shared" si="1"/>
        <v>0</v>
      </c>
      <c r="K57" s="29">
        <f t="shared" si="2"/>
        <v>0</v>
      </c>
      <c r="L57" s="28">
        <f t="shared" si="3"/>
        <v>0</v>
      </c>
    </row>
    <row r="58" spans="5:12" ht="15.75" customHeight="1" x14ac:dyDescent="0.25">
      <c r="E58" s="38"/>
      <c r="H58" s="27">
        <f t="shared" si="0"/>
        <v>0</v>
      </c>
      <c r="I58" s="43"/>
      <c r="J58" s="28">
        <f t="shared" si="1"/>
        <v>0</v>
      </c>
      <c r="K58" s="29">
        <f t="shared" si="2"/>
        <v>0</v>
      </c>
      <c r="L58" s="28">
        <f t="shared" si="3"/>
        <v>0</v>
      </c>
    </row>
    <row r="59" spans="5:12" ht="15.75" customHeight="1" x14ac:dyDescent="0.25">
      <c r="E59" s="38"/>
      <c r="H59" s="27">
        <f t="shared" si="0"/>
        <v>0</v>
      </c>
      <c r="I59" s="43"/>
      <c r="J59" s="28">
        <f t="shared" si="1"/>
        <v>0</v>
      </c>
      <c r="K59" s="29">
        <f t="shared" si="2"/>
        <v>0</v>
      </c>
      <c r="L59" s="28">
        <f t="shared" si="3"/>
        <v>0</v>
      </c>
    </row>
    <row r="60" spans="5:12" ht="15.75" customHeight="1" x14ac:dyDescent="0.25">
      <c r="E60" s="38"/>
      <c r="H60" s="27">
        <f t="shared" si="0"/>
        <v>0</v>
      </c>
      <c r="I60" s="43"/>
      <c r="J60" s="28">
        <f t="shared" si="1"/>
        <v>0</v>
      </c>
      <c r="K60" s="29">
        <f t="shared" si="2"/>
        <v>0</v>
      </c>
      <c r="L60" s="28">
        <f t="shared" si="3"/>
        <v>0</v>
      </c>
    </row>
    <row r="61" spans="5:12" ht="15.75" customHeight="1" x14ac:dyDescent="0.25">
      <c r="E61" s="38"/>
      <c r="H61" s="27">
        <f t="shared" si="0"/>
        <v>0</v>
      </c>
      <c r="I61" s="43"/>
      <c r="J61" s="28">
        <f t="shared" si="1"/>
        <v>0</v>
      </c>
      <c r="K61" s="29">
        <f t="shared" si="2"/>
        <v>0</v>
      </c>
      <c r="L61" s="28">
        <f t="shared" si="3"/>
        <v>0</v>
      </c>
    </row>
    <row r="62" spans="5:12" ht="15.75" customHeight="1" x14ac:dyDescent="0.25">
      <c r="E62" s="38"/>
      <c r="H62" s="27">
        <f t="shared" si="0"/>
        <v>0</v>
      </c>
      <c r="I62" s="43"/>
      <c r="J62" s="28">
        <f t="shared" si="1"/>
        <v>0</v>
      </c>
      <c r="K62" s="29">
        <f t="shared" si="2"/>
        <v>0</v>
      </c>
      <c r="L62" s="28">
        <f t="shared" si="3"/>
        <v>0</v>
      </c>
    </row>
    <row r="63" spans="5:12" ht="15.75" customHeight="1" x14ac:dyDescent="0.25">
      <c r="E63" s="38"/>
      <c r="H63" s="27">
        <f t="shared" si="0"/>
        <v>0</v>
      </c>
      <c r="I63" s="43"/>
      <c r="J63" s="28">
        <f t="shared" si="1"/>
        <v>0</v>
      </c>
      <c r="K63" s="29">
        <f t="shared" si="2"/>
        <v>0</v>
      </c>
      <c r="L63" s="28">
        <f t="shared" si="3"/>
        <v>0</v>
      </c>
    </row>
    <row r="64" spans="5:12" ht="15.75" customHeight="1" x14ac:dyDescent="0.25">
      <c r="E64" s="38"/>
      <c r="H64" s="27">
        <f t="shared" si="0"/>
        <v>0</v>
      </c>
      <c r="I64" s="43"/>
      <c r="J64" s="28">
        <f t="shared" si="1"/>
        <v>0</v>
      </c>
      <c r="K64" s="29">
        <f t="shared" si="2"/>
        <v>0</v>
      </c>
      <c r="L64" s="28">
        <f t="shared" si="3"/>
        <v>0</v>
      </c>
    </row>
    <row r="65" spans="5:12" ht="15.75" customHeight="1" x14ac:dyDescent="0.25">
      <c r="E65" s="38"/>
      <c r="H65" s="27">
        <f t="shared" si="0"/>
        <v>0</v>
      </c>
      <c r="I65" s="43"/>
      <c r="J65" s="28">
        <f t="shared" si="1"/>
        <v>0</v>
      </c>
      <c r="K65" s="29">
        <f t="shared" si="2"/>
        <v>0</v>
      </c>
      <c r="L65" s="28">
        <f t="shared" si="3"/>
        <v>0</v>
      </c>
    </row>
    <row r="66" spans="5:12" ht="15.75" customHeight="1" x14ac:dyDescent="0.25">
      <c r="E66" s="38"/>
      <c r="H66" s="27">
        <f t="shared" ref="H66:H129" si="4">E66*F66</f>
        <v>0</v>
      </c>
      <c r="I66" s="43"/>
      <c r="J66" s="28">
        <f t="shared" ref="J66:J129" si="5">I66*H66</f>
        <v>0</v>
      </c>
      <c r="K66" s="29">
        <f t="shared" ref="K66:K129" si="6">IF(M66="товар",$Q$4, IF(M66="м/к",$Q$2,IF(M66="комп",$Q$3,IF(M66="услуга",$Q$5,0))))</f>
        <v>0</v>
      </c>
      <c r="L66" s="28">
        <f t="shared" ref="L66:L129" si="7">(1+K66)*J66</f>
        <v>0</v>
      </c>
    </row>
    <row r="67" spans="5:12" ht="15.75" customHeight="1" x14ac:dyDescent="0.25">
      <c r="E67" s="38"/>
      <c r="H67" s="27">
        <f t="shared" si="4"/>
        <v>0</v>
      </c>
      <c r="I67" s="43"/>
      <c r="J67" s="28">
        <f t="shared" si="5"/>
        <v>0</v>
      </c>
      <c r="K67" s="29">
        <f t="shared" si="6"/>
        <v>0</v>
      </c>
      <c r="L67" s="28">
        <f t="shared" si="7"/>
        <v>0</v>
      </c>
    </row>
    <row r="68" spans="5:12" ht="15.75" customHeight="1" x14ac:dyDescent="0.25">
      <c r="E68" s="38"/>
      <c r="H68" s="27">
        <f t="shared" si="4"/>
        <v>0</v>
      </c>
      <c r="I68" s="43"/>
      <c r="J68" s="28">
        <f t="shared" si="5"/>
        <v>0</v>
      </c>
      <c r="K68" s="29">
        <f t="shared" si="6"/>
        <v>0</v>
      </c>
      <c r="L68" s="28">
        <f t="shared" si="7"/>
        <v>0</v>
      </c>
    </row>
    <row r="69" spans="5:12" ht="15.75" customHeight="1" x14ac:dyDescent="0.25">
      <c r="E69" s="38"/>
      <c r="H69" s="27">
        <f t="shared" si="4"/>
        <v>0</v>
      </c>
      <c r="I69" s="43"/>
      <c r="J69" s="28">
        <f t="shared" si="5"/>
        <v>0</v>
      </c>
      <c r="K69" s="29">
        <f t="shared" si="6"/>
        <v>0</v>
      </c>
      <c r="L69" s="28">
        <f t="shared" si="7"/>
        <v>0</v>
      </c>
    </row>
    <row r="70" spans="5:12" ht="15.75" customHeight="1" x14ac:dyDescent="0.25">
      <c r="E70" s="38"/>
      <c r="H70" s="27">
        <f t="shared" si="4"/>
        <v>0</v>
      </c>
      <c r="I70" s="43"/>
      <c r="J70" s="28">
        <f t="shared" si="5"/>
        <v>0</v>
      </c>
      <c r="K70" s="29">
        <f t="shared" si="6"/>
        <v>0</v>
      </c>
      <c r="L70" s="28">
        <f t="shared" si="7"/>
        <v>0</v>
      </c>
    </row>
    <row r="71" spans="5:12" ht="15.75" customHeight="1" x14ac:dyDescent="0.25">
      <c r="E71" s="38"/>
      <c r="H71" s="27">
        <f t="shared" si="4"/>
        <v>0</v>
      </c>
      <c r="I71" s="43"/>
      <c r="J71" s="28">
        <f t="shared" si="5"/>
        <v>0</v>
      </c>
      <c r="K71" s="29">
        <f t="shared" si="6"/>
        <v>0</v>
      </c>
      <c r="L71" s="28">
        <f t="shared" si="7"/>
        <v>0</v>
      </c>
    </row>
    <row r="72" spans="5:12" ht="15.75" customHeight="1" x14ac:dyDescent="0.25">
      <c r="E72" s="38"/>
      <c r="H72" s="27">
        <f t="shared" si="4"/>
        <v>0</v>
      </c>
      <c r="I72" s="43"/>
      <c r="J72" s="28">
        <f t="shared" si="5"/>
        <v>0</v>
      </c>
      <c r="K72" s="29">
        <f t="shared" si="6"/>
        <v>0</v>
      </c>
      <c r="L72" s="28">
        <f t="shared" si="7"/>
        <v>0</v>
      </c>
    </row>
    <row r="73" spans="5:12" ht="15.75" customHeight="1" x14ac:dyDescent="0.25">
      <c r="E73" s="38"/>
      <c r="H73" s="27">
        <f t="shared" si="4"/>
        <v>0</v>
      </c>
      <c r="I73" s="43"/>
      <c r="J73" s="28">
        <f t="shared" si="5"/>
        <v>0</v>
      </c>
      <c r="K73" s="29">
        <f t="shared" si="6"/>
        <v>0</v>
      </c>
      <c r="L73" s="28">
        <f t="shared" si="7"/>
        <v>0</v>
      </c>
    </row>
    <row r="74" spans="5:12" ht="15.75" customHeight="1" x14ac:dyDescent="0.25">
      <c r="E74" s="38"/>
      <c r="H74" s="27">
        <f t="shared" si="4"/>
        <v>0</v>
      </c>
      <c r="I74" s="43"/>
      <c r="J74" s="28">
        <f t="shared" si="5"/>
        <v>0</v>
      </c>
      <c r="K74" s="29">
        <f t="shared" si="6"/>
        <v>0</v>
      </c>
      <c r="L74" s="28">
        <f t="shared" si="7"/>
        <v>0</v>
      </c>
    </row>
    <row r="75" spans="5:12" ht="15.75" customHeight="1" x14ac:dyDescent="0.25">
      <c r="E75" s="38"/>
      <c r="H75" s="27">
        <f t="shared" si="4"/>
        <v>0</v>
      </c>
      <c r="I75" s="43"/>
      <c r="J75" s="28">
        <f t="shared" si="5"/>
        <v>0</v>
      </c>
      <c r="K75" s="29">
        <f t="shared" si="6"/>
        <v>0</v>
      </c>
      <c r="L75" s="28">
        <f t="shared" si="7"/>
        <v>0</v>
      </c>
    </row>
    <row r="76" spans="5:12" ht="15.75" customHeight="1" x14ac:dyDescent="0.25">
      <c r="E76" s="38"/>
      <c r="H76" s="27">
        <f t="shared" si="4"/>
        <v>0</v>
      </c>
      <c r="I76" s="43"/>
      <c r="J76" s="28">
        <f t="shared" si="5"/>
        <v>0</v>
      </c>
      <c r="K76" s="29">
        <f t="shared" si="6"/>
        <v>0</v>
      </c>
      <c r="L76" s="28">
        <f t="shared" si="7"/>
        <v>0</v>
      </c>
    </row>
    <row r="77" spans="5:12" ht="15.75" customHeight="1" x14ac:dyDescent="0.25">
      <c r="E77" s="38"/>
      <c r="H77" s="27">
        <f t="shared" si="4"/>
        <v>0</v>
      </c>
      <c r="I77" s="43"/>
      <c r="J77" s="28">
        <f t="shared" si="5"/>
        <v>0</v>
      </c>
      <c r="K77" s="29">
        <f t="shared" si="6"/>
        <v>0</v>
      </c>
      <c r="L77" s="28">
        <f t="shared" si="7"/>
        <v>0</v>
      </c>
    </row>
    <row r="78" spans="5:12" ht="15.75" customHeight="1" x14ac:dyDescent="0.25">
      <c r="E78" s="38"/>
      <c r="H78" s="27">
        <f t="shared" si="4"/>
        <v>0</v>
      </c>
      <c r="I78" s="43"/>
      <c r="J78" s="28">
        <f t="shared" si="5"/>
        <v>0</v>
      </c>
      <c r="K78" s="29">
        <f t="shared" si="6"/>
        <v>0</v>
      </c>
      <c r="L78" s="28">
        <f t="shared" si="7"/>
        <v>0</v>
      </c>
    </row>
    <row r="79" spans="5:12" ht="15.75" customHeight="1" x14ac:dyDescent="0.25">
      <c r="E79" s="38"/>
      <c r="H79" s="27">
        <f t="shared" si="4"/>
        <v>0</v>
      </c>
      <c r="I79" s="43"/>
      <c r="J79" s="28">
        <f t="shared" si="5"/>
        <v>0</v>
      </c>
      <c r="K79" s="29">
        <f t="shared" si="6"/>
        <v>0</v>
      </c>
      <c r="L79" s="28">
        <f t="shared" si="7"/>
        <v>0</v>
      </c>
    </row>
    <row r="80" spans="5:12" ht="15.75" customHeight="1" x14ac:dyDescent="0.25">
      <c r="E80" s="38"/>
      <c r="H80" s="27">
        <f t="shared" si="4"/>
        <v>0</v>
      </c>
      <c r="I80" s="43"/>
      <c r="J80" s="28">
        <f t="shared" si="5"/>
        <v>0</v>
      </c>
      <c r="K80" s="29">
        <f t="shared" si="6"/>
        <v>0</v>
      </c>
      <c r="L80" s="28">
        <f t="shared" si="7"/>
        <v>0</v>
      </c>
    </row>
    <row r="81" spans="5:12" ht="15.75" customHeight="1" x14ac:dyDescent="0.25">
      <c r="E81" s="38"/>
      <c r="H81" s="27">
        <f t="shared" si="4"/>
        <v>0</v>
      </c>
      <c r="I81" s="43"/>
      <c r="J81" s="28">
        <f t="shared" si="5"/>
        <v>0</v>
      </c>
      <c r="K81" s="29">
        <f t="shared" si="6"/>
        <v>0</v>
      </c>
      <c r="L81" s="28">
        <f t="shared" si="7"/>
        <v>0</v>
      </c>
    </row>
    <row r="82" spans="5:12" ht="15.75" customHeight="1" x14ac:dyDescent="0.25">
      <c r="E82" s="38"/>
      <c r="H82" s="27">
        <f t="shared" si="4"/>
        <v>0</v>
      </c>
      <c r="I82" s="43"/>
      <c r="J82" s="28">
        <f t="shared" si="5"/>
        <v>0</v>
      </c>
      <c r="K82" s="29">
        <f t="shared" si="6"/>
        <v>0</v>
      </c>
      <c r="L82" s="28">
        <f t="shared" si="7"/>
        <v>0</v>
      </c>
    </row>
    <row r="83" spans="5:12" ht="15.75" customHeight="1" x14ac:dyDescent="0.25">
      <c r="E83" s="38"/>
      <c r="H83" s="27">
        <f t="shared" si="4"/>
        <v>0</v>
      </c>
      <c r="I83" s="43"/>
      <c r="J83" s="28">
        <f t="shared" si="5"/>
        <v>0</v>
      </c>
      <c r="K83" s="29">
        <f t="shared" si="6"/>
        <v>0</v>
      </c>
      <c r="L83" s="28">
        <f t="shared" si="7"/>
        <v>0</v>
      </c>
    </row>
    <row r="84" spans="5:12" ht="15.75" customHeight="1" x14ac:dyDescent="0.25">
      <c r="E84" s="38"/>
      <c r="H84" s="27">
        <f t="shared" si="4"/>
        <v>0</v>
      </c>
      <c r="I84" s="43"/>
      <c r="J84" s="28">
        <f t="shared" si="5"/>
        <v>0</v>
      </c>
      <c r="K84" s="29">
        <f t="shared" si="6"/>
        <v>0</v>
      </c>
      <c r="L84" s="28">
        <f t="shared" si="7"/>
        <v>0</v>
      </c>
    </row>
    <row r="85" spans="5:12" ht="15.75" customHeight="1" x14ac:dyDescent="0.25">
      <c r="E85" s="38"/>
      <c r="H85" s="27">
        <f t="shared" si="4"/>
        <v>0</v>
      </c>
      <c r="I85" s="43"/>
      <c r="J85" s="28">
        <f t="shared" si="5"/>
        <v>0</v>
      </c>
      <c r="K85" s="29">
        <f t="shared" si="6"/>
        <v>0</v>
      </c>
      <c r="L85" s="28">
        <f t="shared" si="7"/>
        <v>0</v>
      </c>
    </row>
    <row r="86" spans="5:12" ht="15.75" customHeight="1" x14ac:dyDescent="0.25">
      <c r="E86" s="38"/>
      <c r="H86" s="27">
        <f t="shared" si="4"/>
        <v>0</v>
      </c>
      <c r="I86" s="43"/>
      <c r="J86" s="28">
        <f t="shared" si="5"/>
        <v>0</v>
      </c>
      <c r="K86" s="29">
        <f t="shared" si="6"/>
        <v>0</v>
      </c>
      <c r="L86" s="28">
        <f t="shared" si="7"/>
        <v>0</v>
      </c>
    </row>
    <row r="87" spans="5:12" ht="15.75" customHeight="1" x14ac:dyDescent="0.25">
      <c r="E87" s="38"/>
      <c r="H87" s="27">
        <f t="shared" si="4"/>
        <v>0</v>
      </c>
      <c r="I87" s="43"/>
      <c r="J87" s="28">
        <f t="shared" si="5"/>
        <v>0</v>
      </c>
      <c r="K87" s="29">
        <f t="shared" si="6"/>
        <v>0</v>
      </c>
      <c r="L87" s="28">
        <f t="shared" si="7"/>
        <v>0</v>
      </c>
    </row>
    <row r="88" spans="5:12" ht="15.75" customHeight="1" x14ac:dyDescent="0.25">
      <c r="E88" s="38"/>
      <c r="H88" s="27">
        <f t="shared" si="4"/>
        <v>0</v>
      </c>
      <c r="I88" s="43"/>
      <c r="J88" s="28">
        <f t="shared" si="5"/>
        <v>0</v>
      </c>
      <c r="K88" s="29">
        <f t="shared" si="6"/>
        <v>0</v>
      </c>
      <c r="L88" s="28">
        <f t="shared" si="7"/>
        <v>0</v>
      </c>
    </row>
    <row r="89" spans="5:12" ht="15.75" customHeight="1" x14ac:dyDescent="0.25">
      <c r="E89" s="38"/>
      <c r="H89" s="27">
        <f t="shared" si="4"/>
        <v>0</v>
      </c>
      <c r="I89" s="43"/>
      <c r="J89" s="28">
        <f t="shared" si="5"/>
        <v>0</v>
      </c>
      <c r="K89" s="29">
        <f t="shared" si="6"/>
        <v>0</v>
      </c>
      <c r="L89" s="28">
        <f t="shared" si="7"/>
        <v>0</v>
      </c>
    </row>
    <row r="90" spans="5:12" ht="15.75" customHeight="1" x14ac:dyDescent="0.25">
      <c r="E90" s="38"/>
      <c r="H90" s="27">
        <f t="shared" si="4"/>
        <v>0</v>
      </c>
      <c r="I90" s="43"/>
      <c r="J90" s="28">
        <f t="shared" si="5"/>
        <v>0</v>
      </c>
      <c r="K90" s="29">
        <f t="shared" si="6"/>
        <v>0</v>
      </c>
      <c r="L90" s="28">
        <f t="shared" si="7"/>
        <v>0</v>
      </c>
    </row>
    <row r="91" spans="5:12" ht="15.75" customHeight="1" x14ac:dyDescent="0.25">
      <c r="E91" s="38"/>
      <c r="H91" s="27">
        <f t="shared" si="4"/>
        <v>0</v>
      </c>
      <c r="I91" s="43"/>
      <c r="J91" s="28">
        <f t="shared" si="5"/>
        <v>0</v>
      </c>
      <c r="K91" s="29">
        <f t="shared" si="6"/>
        <v>0</v>
      </c>
      <c r="L91" s="28">
        <f t="shared" si="7"/>
        <v>0</v>
      </c>
    </row>
    <row r="92" spans="5:12" ht="15.75" customHeight="1" x14ac:dyDescent="0.25">
      <c r="E92" s="38"/>
      <c r="H92" s="27">
        <f t="shared" si="4"/>
        <v>0</v>
      </c>
      <c r="I92" s="43"/>
      <c r="J92" s="28">
        <f t="shared" si="5"/>
        <v>0</v>
      </c>
      <c r="K92" s="29">
        <f t="shared" si="6"/>
        <v>0</v>
      </c>
      <c r="L92" s="28">
        <f t="shared" si="7"/>
        <v>0</v>
      </c>
    </row>
    <row r="93" spans="5:12" ht="15.75" customHeight="1" x14ac:dyDescent="0.25">
      <c r="E93" s="38"/>
      <c r="H93" s="27">
        <f t="shared" si="4"/>
        <v>0</v>
      </c>
      <c r="I93" s="43"/>
      <c r="J93" s="28">
        <f t="shared" si="5"/>
        <v>0</v>
      </c>
      <c r="K93" s="29">
        <f t="shared" si="6"/>
        <v>0</v>
      </c>
      <c r="L93" s="28">
        <f t="shared" si="7"/>
        <v>0</v>
      </c>
    </row>
    <row r="94" spans="5:12" ht="15.75" customHeight="1" x14ac:dyDescent="0.25">
      <c r="E94" s="38"/>
      <c r="H94" s="27">
        <f t="shared" si="4"/>
        <v>0</v>
      </c>
      <c r="I94" s="43"/>
      <c r="J94" s="28">
        <f t="shared" si="5"/>
        <v>0</v>
      </c>
      <c r="K94" s="29">
        <f t="shared" si="6"/>
        <v>0</v>
      </c>
      <c r="L94" s="28">
        <f t="shared" si="7"/>
        <v>0</v>
      </c>
    </row>
    <row r="95" spans="5:12" ht="15.75" customHeight="1" x14ac:dyDescent="0.25">
      <c r="E95" s="38"/>
      <c r="H95" s="27">
        <f t="shared" si="4"/>
        <v>0</v>
      </c>
      <c r="I95" s="43"/>
      <c r="J95" s="28">
        <f t="shared" si="5"/>
        <v>0</v>
      </c>
      <c r="K95" s="29">
        <f t="shared" si="6"/>
        <v>0</v>
      </c>
      <c r="L95" s="28">
        <f t="shared" si="7"/>
        <v>0</v>
      </c>
    </row>
    <row r="96" spans="5:12" ht="15.75" customHeight="1" x14ac:dyDescent="0.25">
      <c r="E96" s="38"/>
      <c r="H96" s="27">
        <f t="shared" si="4"/>
        <v>0</v>
      </c>
      <c r="I96" s="43"/>
      <c r="J96" s="28">
        <f t="shared" si="5"/>
        <v>0</v>
      </c>
      <c r="K96" s="29">
        <f t="shared" si="6"/>
        <v>0</v>
      </c>
      <c r="L96" s="28">
        <f t="shared" si="7"/>
        <v>0</v>
      </c>
    </row>
    <row r="97" spans="5:12" ht="15.75" customHeight="1" x14ac:dyDescent="0.25">
      <c r="E97" s="38"/>
      <c r="H97" s="27">
        <f t="shared" si="4"/>
        <v>0</v>
      </c>
      <c r="I97" s="43"/>
      <c r="J97" s="28">
        <f t="shared" si="5"/>
        <v>0</v>
      </c>
      <c r="K97" s="29">
        <f t="shared" si="6"/>
        <v>0</v>
      </c>
      <c r="L97" s="28">
        <f t="shared" si="7"/>
        <v>0</v>
      </c>
    </row>
    <row r="98" spans="5:12" ht="15.75" customHeight="1" x14ac:dyDescent="0.25">
      <c r="E98" s="38"/>
      <c r="H98" s="27">
        <f t="shared" si="4"/>
        <v>0</v>
      </c>
      <c r="I98" s="43"/>
      <c r="J98" s="28">
        <f t="shared" si="5"/>
        <v>0</v>
      </c>
      <c r="K98" s="29">
        <f t="shared" si="6"/>
        <v>0</v>
      </c>
      <c r="L98" s="28">
        <f t="shared" si="7"/>
        <v>0</v>
      </c>
    </row>
    <row r="99" spans="5:12" ht="15.75" customHeight="1" x14ac:dyDescent="0.25">
      <c r="E99" s="38"/>
      <c r="H99" s="27">
        <f t="shared" si="4"/>
        <v>0</v>
      </c>
      <c r="I99" s="43"/>
      <c r="J99" s="28">
        <f t="shared" si="5"/>
        <v>0</v>
      </c>
      <c r="K99" s="29">
        <f t="shared" si="6"/>
        <v>0</v>
      </c>
      <c r="L99" s="28">
        <f t="shared" si="7"/>
        <v>0</v>
      </c>
    </row>
    <row r="100" spans="5:12" ht="15.75" customHeight="1" x14ac:dyDescent="0.25">
      <c r="E100" s="38"/>
      <c r="H100" s="27">
        <f t="shared" si="4"/>
        <v>0</v>
      </c>
      <c r="I100" s="43"/>
      <c r="J100" s="28">
        <f t="shared" si="5"/>
        <v>0</v>
      </c>
      <c r="K100" s="29">
        <f t="shared" si="6"/>
        <v>0</v>
      </c>
      <c r="L100" s="28">
        <f t="shared" si="7"/>
        <v>0</v>
      </c>
    </row>
    <row r="101" spans="5:12" ht="15.75" customHeight="1" x14ac:dyDescent="0.25">
      <c r="E101" s="38"/>
      <c r="H101" s="27">
        <f t="shared" si="4"/>
        <v>0</v>
      </c>
      <c r="I101" s="43"/>
      <c r="J101" s="28">
        <f t="shared" si="5"/>
        <v>0</v>
      </c>
      <c r="K101" s="29">
        <f t="shared" si="6"/>
        <v>0</v>
      </c>
      <c r="L101" s="28">
        <f t="shared" si="7"/>
        <v>0</v>
      </c>
    </row>
    <row r="102" spans="5:12" ht="15.75" customHeight="1" x14ac:dyDescent="0.25">
      <c r="E102" s="38"/>
      <c r="H102" s="27">
        <f t="shared" si="4"/>
        <v>0</v>
      </c>
      <c r="I102" s="43"/>
      <c r="J102" s="28">
        <f t="shared" si="5"/>
        <v>0</v>
      </c>
      <c r="K102" s="29">
        <f t="shared" si="6"/>
        <v>0</v>
      </c>
      <c r="L102" s="28">
        <f t="shared" si="7"/>
        <v>0</v>
      </c>
    </row>
    <row r="103" spans="5:12" ht="15.75" customHeight="1" x14ac:dyDescent="0.25">
      <c r="E103" s="38"/>
      <c r="H103" s="27">
        <f t="shared" si="4"/>
        <v>0</v>
      </c>
      <c r="I103" s="43"/>
      <c r="J103" s="28">
        <f t="shared" si="5"/>
        <v>0</v>
      </c>
      <c r="K103" s="29">
        <f t="shared" si="6"/>
        <v>0</v>
      </c>
      <c r="L103" s="28">
        <f t="shared" si="7"/>
        <v>0</v>
      </c>
    </row>
    <row r="104" spans="5:12" ht="15.75" customHeight="1" x14ac:dyDescent="0.25">
      <c r="E104" s="38"/>
      <c r="H104" s="27">
        <f t="shared" si="4"/>
        <v>0</v>
      </c>
      <c r="I104" s="43"/>
      <c r="J104" s="28">
        <f t="shared" si="5"/>
        <v>0</v>
      </c>
      <c r="K104" s="29">
        <f t="shared" si="6"/>
        <v>0</v>
      </c>
      <c r="L104" s="28">
        <f t="shared" si="7"/>
        <v>0</v>
      </c>
    </row>
    <row r="105" spans="5:12" ht="15.75" customHeight="1" x14ac:dyDescent="0.25">
      <c r="E105" s="38"/>
      <c r="H105" s="27">
        <f t="shared" si="4"/>
        <v>0</v>
      </c>
      <c r="I105" s="43"/>
      <c r="J105" s="28">
        <f t="shared" si="5"/>
        <v>0</v>
      </c>
      <c r="K105" s="29">
        <f t="shared" si="6"/>
        <v>0</v>
      </c>
      <c r="L105" s="28">
        <f t="shared" si="7"/>
        <v>0</v>
      </c>
    </row>
    <row r="106" spans="5:12" ht="15.75" customHeight="1" x14ac:dyDescent="0.25">
      <c r="E106" s="38"/>
      <c r="H106" s="27">
        <f t="shared" si="4"/>
        <v>0</v>
      </c>
      <c r="I106" s="43"/>
      <c r="J106" s="28">
        <f t="shared" si="5"/>
        <v>0</v>
      </c>
      <c r="K106" s="29">
        <f t="shared" si="6"/>
        <v>0</v>
      </c>
      <c r="L106" s="28">
        <f t="shared" si="7"/>
        <v>0</v>
      </c>
    </row>
    <row r="107" spans="5:12" ht="15.75" customHeight="1" x14ac:dyDescent="0.25">
      <c r="E107" s="38"/>
      <c r="H107" s="27">
        <f t="shared" si="4"/>
        <v>0</v>
      </c>
      <c r="I107" s="43"/>
      <c r="J107" s="28">
        <f t="shared" si="5"/>
        <v>0</v>
      </c>
      <c r="K107" s="29">
        <f t="shared" si="6"/>
        <v>0</v>
      </c>
      <c r="L107" s="28">
        <f t="shared" si="7"/>
        <v>0</v>
      </c>
    </row>
    <row r="108" spans="5:12" ht="15.75" customHeight="1" x14ac:dyDescent="0.25">
      <c r="E108" s="38"/>
      <c r="H108" s="27">
        <f t="shared" si="4"/>
        <v>0</v>
      </c>
      <c r="I108" s="43"/>
      <c r="J108" s="28">
        <f t="shared" si="5"/>
        <v>0</v>
      </c>
      <c r="K108" s="29">
        <f t="shared" si="6"/>
        <v>0</v>
      </c>
      <c r="L108" s="28">
        <f t="shared" si="7"/>
        <v>0</v>
      </c>
    </row>
    <row r="109" spans="5:12" ht="15.75" customHeight="1" x14ac:dyDescent="0.25">
      <c r="E109" s="38"/>
      <c r="H109" s="27">
        <f t="shared" si="4"/>
        <v>0</v>
      </c>
      <c r="I109" s="43"/>
      <c r="J109" s="28">
        <f t="shared" si="5"/>
        <v>0</v>
      </c>
      <c r="K109" s="29">
        <f t="shared" si="6"/>
        <v>0</v>
      </c>
      <c r="L109" s="28">
        <f t="shared" si="7"/>
        <v>0</v>
      </c>
    </row>
    <row r="110" spans="5:12" ht="15.75" customHeight="1" x14ac:dyDescent="0.25">
      <c r="E110" s="38"/>
      <c r="H110" s="27">
        <f t="shared" si="4"/>
        <v>0</v>
      </c>
      <c r="I110" s="43"/>
      <c r="J110" s="28">
        <f t="shared" si="5"/>
        <v>0</v>
      </c>
      <c r="K110" s="29">
        <f t="shared" si="6"/>
        <v>0</v>
      </c>
      <c r="L110" s="28">
        <f t="shared" si="7"/>
        <v>0</v>
      </c>
    </row>
    <row r="111" spans="5:12" ht="15.75" customHeight="1" x14ac:dyDescent="0.25">
      <c r="E111" s="38"/>
      <c r="H111" s="27">
        <f t="shared" si="4"/>
        <v>0</v>
      </c>
      <c r="I111" s="43"/>
      <c r="J111" s="28">
        <f t="shared" si="5"/>
        <v>0</v>
      </c>
      <c r="K111" s="29">
        <f t="shared" si="6"/>
        <v>0</v>
      </c>
      <c r="L111" s="28">
        <f t="shared" si="7"/>
        <v>0</v>
      </c>
    </row>
    <row r="112" spans="5:12" ht="15.75" customHeight="1" x14ac:dyDescent="0.25">
      <c r="E112" s="38"/>
      <c r="H112" s="27">
        <f t="shared" si="4"/>
        <v>0</v>
      </c>
      <c r="I112" s="43"/>
      <c r="J112" s="28">
        <f t="shared" si="5"/>
        <v>0</v>
      </c>
      <c r="K112" s="29">
        <f t="shared" si="6"/>
        <v>0</v>
      </c>
      <c r="L112" s="28">
        <f t="shared" si="7"/>
        <v>0</v>
      </c>
    </row>
    <row r="113" spans="5:12" ht="15.75" customHeight="1" x14ac:dyDescent="0.25">
      <c r="E113" s="38"/>
      <c r="H113" s="27">
        <f t="shared" si="4"/>
        <v>0</v>
      </c>
      <c r="I113" s="43"/>
      <c r="J113" s="28">
        <f t="shared" si="5"/>
        <v>0</v>
      </c>
      <c r="K113" s="29">
        <f t="shared" si="6"/>
        <v>0</v>
      </c>
      <c r="L113" s="28">
        <f t="shared" si="7"/>
        <v>0</v>
      </c>
    </row>
    <row r="114" spans="5:12" ht="15.75" customHeight="1" x14ac:dyDescent="0.25">
      <c r="E114" s="38"/>
      <c r="H114" s="27">
        <f t="shared" si="4"/>
        <v>0</v>
      </c>
      <c r="I114" s="43"/>
      <c r="J114" s="28">
        <f t="shared" si="5"/>
        <v>0</v>
      </c>
      <c r="K114" s="29">
        <f t="shared" si="6"/>
        <v>0</v>
      </c>
      <c r="L114" s="28">
        <f t="shared" si="7"/>
        <v>0</v>
      </c>
    </row>
    <row r="115" spans="5:12" ht="15.75" customHeight="1" x14ac:dyDescent="0.25">
      <c r="E115" s="38"/>
      <c r="H115" s="27">
        <f t="shared" si="4"/>
        <v>0</v>
      </c>
      <c r="I115" s="43"/>
      <c r="J115" s="28">
        <f t="shared" si="5"/>
        <v>0</v>
      </c>
      <c r="K115" s="29">
        <f t="shared" si="6"/>
        <v>0</v>
      </c>
      <c r="L115" s="28">
        <f t="shared" si="7"/>
        <v>0</v>
      </c>
    </row>
    <row r="116" spans="5:12" ht="15.75" customHeight="1" x14ac:dyDescent="0.25">
      <c r="E116" s="38"/>
      <c r="H116" s="27">
        <f t="shared" si="4"/>
        <v>0</v>
      </c>
      <c r="I116" s="43"/>
      <c r="J116" s="28">
        <f t="shared" si="5"/>
        <v>0</v>
      </c>
      <c r="K116" s="29">
        <f t="shared" si="6"/>
        <v>0</v>
      </c>
      <c r="L116" s="28">
        <f t="shared" si="7"/>
        <v>0</v>
      </c>
    </row>
    <row r="117" spans="5:12" ht="15.75" customHeight="1" x14ac:dyDescent="0.25">
      <c r="E117" s="38"/>
      <c r="H117" s="27">
        <f t="shared" si="4"/>
        <v>0</v>
      </c>
      <c r="I117" s="43"/>
      <c r="J117" s="28">
        <f t="shared" si="5"/>
        <v>0</v>
      </c>
      <c r="K117" s="29">
        <f t="shared" si="6"/>
        <v>0</v>
      </c>
      <c r="L117" s="28">
        <f t="shared" si="7"/>
        <v>0</v>
      </c>
    </row>
    <row r="118" spans="5:12" ht="15.75" customHeight="1" x14ac:dyDescent="0.25">
      <c r="E118" s="38"/>
      <c r="H118" s="27">
        <f t="shared" si="4"/>
        <v>0</v>
      </c>
      <c r="I118" s="43"/>
      <c r="J118" s="28">
        <f t="shared" si="5"/>
        <v>0</v>
      </c>
      <c r="K118" s="29">
        <f t="shared" si="6"/>
        <v>0</v>
      </c>
      <c r="L118" s="28">
        <f t="shared" si="7"/>
        <v>0</v>
      </c>
    </row>
    <row r="119" spans="5:12" ht="15.75" customHeight="1" x14ac:dyDescent="0.25">
      <c r="E119" s="38"/>
      <c r="H119" s="27">
        <f t="shared" si="4"/>
        <v>0</v>
      </c>
      <c r="I119" s="43"/>
      <c r="J119" s="28">
        <f t="shared" si="5"/>
        <v>0</v>
      </c>
      <c r="K119" s="29">
        <f t="shared" si="6"/>
        <v>0</v>
      </c>
      <c r="L119" s="28">
        <f t="shared" si="7"/>
        <v>0</v>
      </c>
    </row>
    <row r="120" spans="5:12" ht="15.75" customHeight="1" x14ac:dyDescent="0.25">
      <c r="E120" s="38"/>
      <c r="H120" s="27">
        <f t="shared" si="4"/>
        <v>0</v>
      </c>
      <c r="I120" s="43"/>
      <c r="J120" s="28">
        <f t="shared" si="5"/>
        <v>0</v>
      </c>
      <c r="K120" s="29">
        <f t="shared" si="6"/>
        <v>0</v>
      </c>
      <c r="L120" s="28">
        <f t="shared" si="7"/>
        <v>0</v>
      </c>
    </row>
    <row r="121" spans="5:12" ht="15.75" customHeight="1" x14ac:dyDescent="0.25">
      <c r="E121" s="38"/>
      <c r="H121" s="27">
        <f t="shared" si="4"/>
        <v>0</v>
      </c>
      <c r="I121" s="43"/>
      <c r="J121" s="28">
        <f t="shared" si="5"/>
        <v>0</v>
      </c>
      <c r="K121" s="29">
        <f t="shared" si="6"/>
        <v>0</v>
      </c>
      <c r="L121" s="28">
        <f t="shared" si="7"/>
        <v>0</v>
      </c>
    </row>
    <row r="122" spans="5:12" ht="15.75" customHeight="1" x14ac:dyDescent="0.25">
      <c r="E122" s="38"/>
      <c r="H122" s="27">
        <f t="shared" si="4"/>
        <v>0</v>
      </c>
      <c r="I122" s="43"/>
      <c r="J122" s="28">
        <f t="shared" si="5"/>
        <v>0</v>
      </c>
      <c r="K122" s="29">
        <f t="shared" si="6"/>
        <v>0</v>
      </c>
      <c r="L122" s="28">
        <f t="shared" si="7"/>
        <v>0</v>
      </c>
    </row>
    <row r="123" spans="5:12" ht="15.75" customHeight="1" x14ac:dyDescent="0.25">
      <c r="E123" s="38"/>
      <c r="H123" s="27">
        <f t="shared" si="4"/>
        <v>0</v>
      </c>
      <c r="I123" s="43"/>
      <c r="J123" s="28">
        <f t="shared" si="5"/>
        <v>0</v>
      </c>
      <c r="K123" s="29">
        <f t="shared" si="6"/>
        <v>0</v>
      </c>
      <c r="L123" s="28">
        <f t="shared" si="7"/>
        <v>0</v>
      </c>
    </row>
    <row r="124" spans="5:12" ht="15.75" customHeight="1" x14ac:dyDescent="0.25">
      <c r="E124" s="38"/>
      <c r="H124" s="27">
        <f t="shared" si="4"/>
        <v>0</v>
      </c>
      <c r="I124" s="43"/>
      <c r="J124" s="28">
        <f t="shared" si="5"/>
        <v>0</v>
      </c>
      <c r="K124" s="29">
        <f t="shared" si="6"/>
        <v>0</v>
      </c>
      <c r="L124" s="28">
        <f t="shared" si="7"/>
        <v>0</v>
      </c>
    </row>
    <row r="125" spans="5:12" ht="15.75" customHeight="1" x14ac:dyDescent="0.25">
      <c r="E125" s="38"/>
      <c r="H125" s="27">
        <f t="shared" si="4"/>
        <v>0</v>
      </c>
      <c r="I125" s="43"/>
      <c r="J125" s="28">
        <f t="shared" si="5"/>
        <v>0</v>
      </c>
      <c r="K125" s="29">
        <f t="shared" si="6"/>
        <v>0</v>
      </c>
      <c r="L125" s="28">
        <f t="shared" si="7"/>
        <v>0</v>
      </c>
    </row>
    <row r="126" spans="5:12" ht="15.75" customHeight="1" x14ac:dyDescent="0.25">
      <c r="E126" s="38"/>
      <c r="H126" s="27">
        <f t="shared" si="4"/>
        <v>0</v>
      </c>
      <c r="I126" s="43"/>
      <c r="J126" s="28">
        <f t="shared" si="5"/>
        <v>0</v>
      </c>
      <c r="K126" s="29">
        <f t="shared" si="6"/>
        <v>0</v>
      </c>
      <c r="L126" s="28">
        <f t="shared" si="7"/>
        <v>0</v>
      </c>
    </row>
    <row r="127" spans="5:12" ht="15.75" customHeight="1" x14ac:dyDescent="0.25">
      <c r="E127" s="38"/>
      <c r="H127" s="27">
        <f t="shared" si="4"/>
        <v>0</v>
      </c>
      <c r="I127" s="43"/>
      <c r="J127" s="28">
        <f t="shared" si="5"/>
        <v>0</v>
      </c>
      <c r="K127" s="29">
        <f t="shared" si="6"/>
        <v>0</v>
      </c>
      <c r="L127" s="28">
        <f t="shared" si="7"/>
        <v>0</v>
      </c>
    </row>
    <row r="128" spans="5:12" ht="15.75" customHeight="1" x14ac:dyDescent="0.25">
      <c r="E128" s="38"/>
      <c r="H128" s="27">
        <f t="shared" si="4"/>
        <v>0</v>
      </c>
      <c r="I128" s="43"/>
      <c r="J128" s="28">
        <f t="shared" si="5"/>
        <v>0</v>
      </c>
      <c r="K128" s="29">
        <f t="shared" si="6"/>
        <v>0</v>
      </c>
      <c r="L128" s="28">
        <f t="shared" si="7"/>
        <v>0</v>
      </c>
    </row>
    <row r="129" spans="5:12" ht="15.75" customHeight="1" x14ac:dyDescent="0.25">
      <c r="E129" s="38"/>
      <c r="H129" s="27">
        <f t="shared" si="4"/>
        <v>0</v>
      </c>
      <c r="I129" s="43"/>
      <c r="J129" s="28">
        <f t="shared" si="5"/>
        <v>0</v>
      </c>
      <c r="K129" s="29">
        <f t="shared" si="6"/>
        <v>0</v>
      </c>
      <c r="L129" s="28">
        <f t="shared" si="7"/>
        <v>0</v>
      </c>
    </row>
    <row r="130" spans="5:12" ht="15.75" customHeight="1" x14ac:dyDescent="0.25">
      <c r="E130" s="38"/>
      <c r="H130" s="27">
        <f t="shared" ref="H130:H193" si="8">E130*F130</f>
        <v>0</v>
      </c>
      <c r="I130" s="43"/>
      <c r="J130" s="28">
        <f t="shared" ref="J130:J193" si="9">I130*H130</f>
        <v>0</v>
      </c>
      <c r="K130" s="29">
        <f t="shared" ref="K130:K193" si="10">IF(M130="товар",$Q$4, IF(M130="м/к",$Q$2,IF(M130="комп",$Q$3,IF(M130="услуга",$Q$5,0))))</f>
        <v>0</v>
      </c>
      <c r="L130" s="28">
        <f t="shared" ref="L130:L193" si="11">(1+K130)*J130</f>
        <v>0</v>
      </c>
    </row>
    <row r="131" spans="5:12" ht="15.75" customHeight="1" x14ac:dyDescent="0.25">
      <c r="E131" s="38"/>
      <c r="H131" s="27">
        <f t="shared" si="8"/>
        <v>0</v>
      </c>
      <c r="I131" s="43"/>
      <c r="J131" s="28">
        <f t="shared" si="9"/>
        <v>0</v>
      </c>
      <c r="K131" s="29">
        <f t="shared" si="10"/>
        <v>0</v>
      </c>
      <c r="L131" s="28">
        <f t="shared" si="11"/>
        <v>0</v>
      </c>
    </row>
    <row r="132" spans="5:12" ht="15.75" customHeight="1" x14ac:dyDescent="0.25">
      <c r="E132" s="38"/>
      <c r="H132" s="27">
        <f t="shared" si="8"/>
        <v>0</v>
      </c>
      <c r="I132" s="43"/>
      <c r="J132" s="28">
        <f t="shared" si="9"/>
        <v>0</v>
      </c>
      <c r="K132" s="29">
        <f t="shared" si="10"/>
        <v>0</v>
      </c>
      <c r="L132" s="28">
        <f t="shared" si="11"/>
        <v>0</v>
      </c>
    </row>
    <row r="133" spans="5:12" ht="15.75" customHeight="1" x14ac:dyDescent="0.25">
      <c r="E133" s="38"/>
      <c r="H133" s="27">
        <f t="shared" si="8"/>
        <v>0</v>
      </c>
      <c r="I133" s="43"/>
      <c r="J133" s="28">
        <f t="shared" si="9"/>
        <v>0</v>
      </c>
      <c r="K133" s="29">
        <f t="shared" si="10"/>
        <v>0</v>
      </c>
      <c r="L133" s="28">
        <f t="shared" si="11"/>
        <v>0</v>
      </c>
    </row>
    <row r="134" spans="5:12" ht="15.75" customHeight="1" x14ac:dyDescent="0.25">
      <c r="E134" s="38"/>
      <c r="H134" s="27">
        <f t="shared" si="8"/>
        <v>0</v>
      </c>
      <c r="I134" s="43"/>
      <c r="J134" s="28">
        <f t="shared" si="9"/>
        <v>0</v>
      </c>
      <c r="K134" s="29">
        <f t="shared" si="10"/>
        <v>0</v>
      </c>
      <c r="L134" s="28">
        <f t="shared" si="11"/>
        <v>0</v>
      </c>
    </row>
    <row r="135" spans="5:12" ht="15.75" customHeight="1" x14ac:dyDescent="0.25">
      <c r="E135" s="38"/>
      <c r="H135" s="27">
        <f t="shared" si="8"/>
        <v>0</v>
      </c>
      <c r="I135" s="43"/>
      <c r="J135" s="28">
        <f t="shared" si="9"/>
        <v>0</v>
      </c>
      <c r="K135" s="29">
        <f t="shared" si="10"/>
        <v>0</v>
      </c>
      <c r="L135" s="28">
        <f t="shared" si="11"/>
        <v>0</v>
      </c>
    </row>
    <row r="136" spans="5:12" ht="15.75" customHeight="1" x14ac:dyDescent="0.25">
      <c r="E136" s="38"/>
      <c r="H136" s="27">
        <f t="shared" si="8"/>
        <v>0</v>
      </c>
      <c r="I136" s="43"/>
      <c r="J136" s="28">
        <f t="shared" si="9"/>
        <v>0</v>
      </c>
      <c r="K136" s="29">
        <f t="shared" si="10"/>
        <v>0</v>
      </c>
      <c r="L136" s="28">
        <f t="shared" si="11"/>
        <v>0</v>
      </c>
    </row>
    <row r="137" spans="5:12" ht="15.75" customHeight="1" x14ac:dyDescent="0.25">
      <c r="E137" s="38"/>
      <c r="H137" s="27">
        <f t="shared" si="8"/>
        <v>0</v>
      </c>
      <c r="I137" s="43"/>
      <c r="J137" s="28">
        <f t="shared" si="9"/>
        <v>0</v>
      </c>
      <c r="K137" s="29">
        <f t="shared" si="10"/>
        <v>0</v>
      </c>
      <c r="L137" s="28">
        <f t="shared" si="11"/>
        <v>0</v>
      </c>
    </row>
    <row r="138" spans="5:12" ht="15.75" customHeight="1" x14ac:dyDescent="0.25">
      <c r="E138" s="38"/>
      <c r="H138" s="27">
        <f t="shared" si="8"/>
        <v>0</v>
      </c>
      <c r="I138" s="43"/>
      <c r="J138" s="28">
        <f t="shared" si="9"/>
        <v>0</v>
      </c>
      <c r="K138" s="29">
        <f t="shared" si="10"/>
        <v>0</v>
      </c>
      <c r="L138" s="28">
        <f t="shared" si="11"/>
        <v>0</v>
      </c>
    </row>
    <row r="139" spans="5:12" ht="15.75" customHeight="1" x14ac:dyDescent="0.25">
      <c r="E139" s="38"/>
      <c r="H139" s="27">
        <f t="shared" si="8"/>
        <v>0</v>
      </c>
      <c r="I139" s="43"/>
      <c r="J139" s="28">
        <f t="shared" si="9"/>
        <v>0</v>
      </c>
      <c r="K139" s="29">
        <f t="shared" si="10"/>
        <v>0</v>
      </c>
      <c r="L139" s="28">
        <f t="shared" si="11"/>
        <v>0</v>
      </c>
    </row>
    <row r="140" spans="5:12" ht="15.75" customHeight="1" x14ac:dyDescent="0.25">
      <c r="E140" s="38"/>
      <c r="H140" s="27">
        <f t="shared" si="8"/>
        <v>0</v>
      </c>
      <c r="I140" s="43"/>
      <c r="J140" s="28">
        <f t="shared" si="9"/>
        <v>0</v>
      </c>
      <c r="K140" s="29">
        <f t="shared" si="10"/>
        <v>0</v>
      </c>
      <c r="L140" s="28">
        <f t="shared" si="11"/>
        <v>0</v>
      </c>
    </row>
    <row r="141" spans="5:12" ht="15.75" customHeight="1" x14ac:dyDescent="0.25">
      <c r="E141" s="38"/>
      <c r="H141" s="27">
        <f t="shared" si="8"/>
        <v>0</v>
      </c>
      <c r="I141" s="43"/>
      <c r="J141" s="28">
        <f t="shared" si="9"/>
        <v>0</v>
      </c>
      <c r="K141" s="29">
        <f t="shared" si="10"/>
        <v>0</v>
      </c>
      <c r="L141" s="28">
        <f t="shared" si="11"/>
        <v>0</v>
      </c>
    </row>
    <row r="142" spans="5:12" ht="15.75" customHeight="1" x14ac:dyDescent="0.25">
      <c r="E142" s="38"/>
      <c r="H142" s="27">
        <f t="shared" si="8"/>
        <v>0</v>
      </c>
      <c r="I142" s="43"/>
      <c r="J142" s="28">
        <f t="shared" si="9"/>
        <v>0</v>
      </c>
      <c r="K142" s="29">
        <f t="shared" si="10"/>
        <v>0</v>
      </c>
      <c r="L142" s="28">
        <f t="shared" si="11"/>
        <v>0</v>
      </c>
    </row>
    <row r="143" spans="5:12" ht="15.75" customHeight="1" x14ac:dyDescent="0.25">
      <c r="E143" s="38"/>
      <c r="H143" s="27">
        <f t="shared" si="8"/>
        <v>0</v>
      </c>
      <c r="I143" s="43"/>
      <c r="J143" s="28">
        <f t="shared" si="9"/>
        <v>0</v>
      </c>
      <c r="K143" s="29">
        <f t="shared" si="10"/>
        <v>0</v>
      </c>
      <c r="L143" s="28">
        <f t="shared" si="11"/>
        <v>0</v>
      </c>
    </row>
    <row r="144" spans="5:12" ht="15.75" customHeight="1" x14ac:dyDescent="0.25">
      <c r="E144" s="38"/>
      <c r="H144" s="27">
        <f t="shared" si="8"/>
        <v>0</v>
      </c>
      <c r="I144" s="43"/>
      <c r="J144" s="28">
        <f t="shared" si="9"/>
        <v>0</v>
      </c>
      <c r="K144" s="29">
        <f t="shared" si="10"/>
        <v>0</v>
      </c>
      <c r="L144" s="28">
        <f t="shared" si="11"/>
        <v>0</v>
      </c>
    </row>
    <row r="145" spans="5:12" ht="15.75" customHeight="1" x14ac:dyDescent="0.25">
      <c r="E145" s="38"/>
      <c r="H145" s="27">
        <f t="shared" si="8"/>
        <v>0</v>
      </c>
      <c r="I145" s="43"/>
      <c r="J145" s="28">
        <f t="shared" si="9"/>
        <v>0</v>
      </c>
      <c r="K145" s="29">
        <f t="shared" si="10"/>
        <v>0</v>
      </c>
      <c r="L145" s="28">
        <f t="shared" si="11"/>
        <v>0</v>
      </c>
    </row>
    <row r="146" spans="5:12" ht="15.75" customHeight="1" x14ac:dyDescent="0.25">
      <c r="E146" s="38"/>
      <c r="H146" s="27">
        <f t="shared" si="8"/>
        <v>0</v>
      </c>
      <c r="I146" s="43"/>
      <c r="J146" s="28">
        <f t="shared" si="9"/>
        <v>0</v>
      </c>
      <c r="K146" s="29">
        <f t="shared" si="10"/>
        <v>0</v>
      </c>
      <c r="L146" s="28">
        <f t="shared" si="11"/>
        <v>0</v>
      </c>
    </row>
    <row r="147" spans="5:12" ht="15.75" customHeight="1" x14ac:dyDescent="0.25">
      <c r="E147" s="38"/>
      <c r="H147" s="27">
        <f t="shared" si="8"/>
        <v>0</v>
      </c>
      <c r="I147" s="43"/>
      <c r="J147" s="28">
        <f t="shared" si="9"/>
        <v>0</v>
      </c>
      <c r="K147" s="29">
        <f t="shared" si="10"/>
        <v>0</v>
      </c>
      <c r="L147" s="28">
        <f t="shared" si="11"/>
        <v>0</v>
      </c>
    </row>
    <row r="148" spans="5:12" ht="15.75" customHeight="1" x14ac:dyDescent="0.25">
      <c r="E148" s="38"/>
      <c r="H148" s="27">
        <f t="shared" si="8"/>
        <v>0</v>
      </c>
      <c r="I148" s="43"/>
      <c r="J148" s="28">
        <f t="shared" si="9"/>
        <v>0</v>
      </c>
      <c r="K148" s="29">
        <f t="shared" si="10"/>
        <v>0</v>
      </c>
      <c r="L148" s="28">
        <f t="shared" si="11"/>
        <v>0</v>
      </c>
    </row>
    <row r="149" spans="5:12" ht="15.75" customHeight="1" x14ac:dyDescent="0.25">
      <c r="E149" s="38"/>
      <c r="H149" s="27">
        <f t="shared" si="8"/>
        <v>0</v>
      </c>
      <c r="I149" s="43"/>
      <c r="J149" s="28">
        <f t="shared" si="9"/>
        <v>0</v>
      </c>
      <c r="K149" s="29">
        <f t="shared" si="10"/>
        <v>0</v>
      </c>
      <c r="L149" s="28">
        <f t="shared" si="11"/>
        <v>0</v>
      </c>
    </row>
    <row r="150" spans="5:12" ht="15.75" customHeight="1" x14ac:dyDescent="0.25">
      <c r="E150" s="38"/>
      <c r="H150" s="27">
        <f t="shared" si="8"/>
        <v>0</v>
      </c>
      <c r="I150" s="43"/>
      <c r="J150" s="28">
        <f t="shared" si="9"/>
        <v>0</v>
      </c>
      <c r="K150" s="29">
        <f t="shared" si="10"/>
        <v>0</v>
      </c>
      <c r="L150" s="28">
        <f t="shared" si="11"/>
        <v>0</v>
      </c>
    </row>
    <row r="151" spans="5:12" ht="15.75" customHeight="1" x14ac:dyDescent="0.25">
      <c r="E151" s="38"/>
      <c r="H151" s="27">
        <f t="shared" si="8"/>
        <v>0</v>
      </c>
      <c r="I151" s="43"/>
      <c r="J151" s="28">
        <f t="shared" si="9"/>
        <v>0</v>
      </c>
      <c r="K151" s="29">
        <f t="shared" si="10"/>
        <v>0</v>
      </c>
      <c r="L151" s="28">
        <f t="shared" si="11"/>
        <v>0</v>
      </c>
    </row>
    <row r="152" spans="5:12" ht="15.75" customHeight="1" x14ac:dyDescent="0.25">
      <c r="E152" s="38"/>
      <c r="H152" s="27">
        <f t="shared" si="8"/>
        <v>0</v>
      </c>
      <c r="I152" s="43"/>
      <c r="J152" s="28">
        <f t="shared" si="9"/>
        <v>0</v>
      </c>
      <c r="K152" s="29">
        <f t="shared" si="10"/>
        <v>0</v>
      </c>
      <c r="L152" s="28">
        <f t="shared" si="11"/>
        <v>0</v>
      </c>
    </row>
    <row r="153" spans="5:12" ht="15.75" customHeight="1" x14ac:dyDescent="0.25">
      <c r="E153" s="38"/>
      <c r="H153" s="27">
        <f t="shared" si="8"/>
        <v>0</v>
      </c>
      <c r="I153" s="43"/>
      <c r="J153" s="28">
        <f t="shared" si="9"/>
        <v>0</v>
      </c>
      <c r="K153" s="29">
        <f t="shared" si="10"/>
        <v>0</v>
      </c>
      <c r="L153" s="28">
        <f t="shared" si="11"/>
        <v>0</v>
      </c>
    </row>
    <row r="154" spans="5:12" ht="15.75" customHeight="1" x14ac:dyDescent="0.25">
      <c r="E154" s="38"/>
      <c r="H154" s="27">
        <f t="shared" si="8"/>
        <v>0</v>
      </c>
      <c r="I154" s="43"/>
      <c r="J154" s="28">
        <f t="shared" si="9"/>
        <v>0</v>
      </c>
      <c r="K154" s="29">
        <f t="shared" si="10"/>
        <v>0</v>
      </c>
      <c r="L154" s="28">
        <f t="shared" si="11"/>
        <v>0</v>
      </c>
    </row>
    <row r="155" spans="5:12" ht="15.75" customHeight="1" x14ac:dyDescent="0.25">
      <c r="E155" s="38"/>
      <c r="H155" s="27">
        <f t="shared" si="8"/>
        <v>0</v>
      </c>
      <c r="I155" s="43"/>
      <c r="J155" s="28">
        <f t="shared" si="9"/>
        <v>0</v>
      </c>
      <c r="K155" s="29">
        <f t="shared" si="10"/>
        <v>0</v>
      </c>
      <c r="L155" s="28">
        <f t="shared" si="11"/>
        <v>0</v>
      </c>
    </row>
    <row r="156" spans="5:12" ht="15.75" customHeight="1" x14ac:dyDescent="0.25">
      <c r="E156" s="38"/>
      <c r="H156" s="27">
        <f t="shared" si="8"/>
        <v>0</v>
      </c>
      <c r="I156" s="43"/>
      <c r="J156" s="28">
        <f t="shared" si="9"/>
        <v>0</v>
      </c>
      <c r="K156" s="29">
        <f t="shared" si="10"/>
        <v>0</v>
      </c>
      <c r="L156" s="28">
        <f t="shared" si="11"/>
        <v>0</v>
      </c>
    </row>
    <row r="157" spans="5:12" ht="15.75" customHeight="1" x14ac:dyDescent="0.25">
      <c r="E157" s="38"/>
      <c r="H157" s="27">
        <f t="shared" si="8"/>
        <v>0</v>
      </c>
      <c r="I157" s="43"/>
      <c r="J157" s="28">
        <f t="shared" si="9"/>
        <v>0</v>
      </c>
      <c r="K157" s="29">
        <f t="shared" si="10"/>
        <v>0</v>
      </c>
      <c r="L157" s="28">
        <f t="shared" si="11"/>
        <v>0</v>
      </c>
    </row>
    <row r="158" spans="5:12" ht="15.75" customHeight="1" x14ac:dyDescent="0.25">
      <c r="E158" s="38"/>
      <c r="H158" s="27">
        <f t="shared" si="8"/>
        <v>0</v>
      </c>
      <c r="I158" s="43"/>
      <c r="J158" s="28">
        <f t="shared" si="9"/>
        <v>0</v>
      </c>
      <c r="K158" s="29">
        <f t="shared" si="10"/>
        <v>0</v>
      </c>
      <c r="L158" s="28">
        <f t="shared" si="11"/>
        <v>0</v>
      </c>
    </row>
    <row r="159" spans="5:12" ht="15.75" customHeight="1" x14ac:dyDescent="0.25">
      <c r="E159" s="38"/>
      <c r="H159" s="27">
        <f t="shared" si="8"/>
        <v>0</v>
      </c>
      <c r="I159" s="43"/>
      <c r="J159" s="28">
        <f t="shared" si="9"/>
        <v>0</v>
      </c>
      <c r="K159" s="29">
        <f t="shared" si="10"/>
        <v>0</v>
      </c>
      <c r="L159" s="28">
        <f t="shared" si="11"/>
        <v>0</v>
      </c>
    </row>
    <row r="160" spans="5:12" ht="15.75" customHeight="1" x14ac:dyDescent="0.25">
      <c r="E160" s="38"/>
      <c r="H160" s="27">
        <f t="shared" si="8"/>
        <v>0</v>
      </c>
      <c r="I160" s="43"/>
      <c r="J160" s="28">
        <f t="shared" si="9"/>
        <v>0</v>
      </c>
      <c r="K160" s="29">
        <f t="shared" si="10"/>
        <v>0</v>
      </c>
      <c r="L160" s="28">
        <f t="shared" si="11"/>
        <v>0</v>
      </c>
    </row>
    <row r="161" spans="5:12" ht="15.75" customHeight="1" x14ac:dyDescent="0.25">
      <c r="E161" s="38"/>
      <c r="H161" s="27">
        <f t="shared" si="8"/>
        <v>0</v>
      </c>
      <c r="I161" s="43"/>
      <c r="J161" s="28">
        <f t="shared" si="9"/>
        <v>0</v>
      </c>
      <c r="K161" s="29">
        <f t="shared" si="10"/>
        <v>0</v>
      </c>
      <c r="L161" s="28">
        <f t="shared" si="11"/>
        <v>0</v>
      </c>
    </row>
    <row r="162" spans="5:12" ht="15.75" customHeight="1" x14ac:dyDescent="0.25">
      <c r="E162" s="38"/>
      <c r="H162" s="27">
        <f t="shared" si="8"/>
        <v>0</v>
      </c>
      <c r="I162" s="43"/>
      <c r="J162" s="28">
        <f t="shared" si="9"/>
        <v>0</v>
      </c>
      <c r="K162" s="29">
        <f t="shared" si="10"/>
        <v>0</v>
      </c>
      <c r="L162" s="28">
        <f t="shared" si="11"/>
        <v>0</v>
      </c>
    </row>
    <row r="163" spans="5:12" ht="15.75" customHeight="1" x14ac:dyDescent="0.25">
      <c r="E163" s="38"/>
      <c r="H163" s="27">
        <f t="shared" si="8"/>
        <v>0</v>
      </c>
      <c r="I163" s="43"/>
      <c r="J163" s="28">
        <f t="shared" si="9"/>
        <v>0</v>
      </c>
      <c r="K163" s="29">
        <f t="shared" si="10"/>
        <v>0</v>
      </c>
      <c r="L163" s="28">
        <f t="shared" si="11"/>
        <v>0</v>
      </c>
    </row>
    <row r="164" spans="5:12" ht="15.75" customHeight="1" x14ac:dyDescent="0.25">
      <c r="E164" s="38"/>
      <c r="H164" s="27">
        <f t="shared" si="8"/>
        <v>0</v>
      </c>
      <c r="I164" s="43"/>
      <c r="J164" s="28">
        <f t="shared" si="9"/>
        <v>0</v>
      </c>
      <c r="K164" s="29">
        <f t="shared" si="10"/>
        <v>0</v>
      </c>
      <c r="L164" s="28">
        <f t="shared" si="11"/>
        <v>0</v>
      </c>
    </row>
    <row r="165" spans="5:12" ht="15.75" customHeight="1" x14ac:dyDescent="0.25">
      <c r="E165" s="38"/>
      <c r="H165" s="27">
        <f t="shared" si="8"/>
        <v>0</v>
      </c>
      <c r="I165" s="43"/>
      <c r="J165" s="28">
        <f t="shared" si="9"/>
        <v>0</v>
      </c>
      <c r="K165" s="29">
        <f t="shared" si="10"/>
        <v>0</v>
      </c>
      <c r="L165" s="28">
        <f t="shared" si="11"/>
        <v>0</v>
      </c>
    </row>
    <row r="166" spans="5:12" ht="15.75" customHeight="1" x14ac:dyDescent="0.25">
      <c r="E166" s="38"/>
      <c r="H166" s="27">
        <f t="shared" si="8"/>
        <v>0</v>
      </c>
      <c r="I166" s="43"/>
      <c r="J166" s="28">
        <f t="shared" si="9"/>
        <v>0</v>
      </c>
      <c r="K166" s="29">
        <f t="shared" si="10"/>
        <v>0</v>
      </c>
      <c r="L166" s="28">
        <f t="shared" si="11"/>
        <v>0</v>
      </c>
    </row>
    <row r="167" spans="5:12" ht="15.75" customHeight="1" x14ac:dyDescent="0.25">
      <c r="E167" s="38"/>
      <c r="H167" s="27">
        <f t="shared" si="8"/>
        <v>0</v>
      </c>
      <c r="I167" s="43"/>
      <c r="J167" s="28">
        <f t="shared" si="9"/>
        <v>0</v>
      </c>
      <c r="K167" s="29">
        <f t="shared" si="10"/>
        <v>0</v>
      </c>
      <c r="L167" s="28">
        <f t="shared" si="11"/>
        <v>0</v>
      </c>
    </row>
    <row r="168" spans="5:12" ht="15.75" customHeight="1" x14ac:dyDescent="0.25">
      <c r="E168" s="38"/>
      <c r="H168" s="27">
        <f t="shared" si="8"/>
        <v>0</v>
      </c>
      <c r="I168" s="43"/>
      <c r="J168" s="28">
        <f t="shared" si="9"/>
        <v>0</v>
      </c>
      <c r="K168" s="29">
        <f t="shared" si="10"/>
        <v>0</v>
      </c>
      <c r="L168" s="28">
        <f t="shared" si="11"/>
        <v>0</v>
      </c>
    </row>
    <row r="169" spans="5:12" ht="15.75" customHeight="1" x14ac:dyDescent="0.25">
      <c r="E169" s="38"/>
      <c r="H169" s="27">
        <f t="shared" si="8"/>
        <v>0</v>
      </c>
      <c r="I169" s="43"/>
      <c r="J169" s="28">
        <f t="shared" si="9"/>
        <v>0</v>
      </c>
      <c r="K169" s="29">
        <f t="shared" si="10"/>
        <v>0</v>
      </c>
      <c r="L169" s="28">
        <f t="shared" si="11"/>
        <v>0</v>
      </c>
    </row>
    <row r="170" spans="5:12" ht="15.75" customHeight="1" x14ac:dyDescent="0.25">
      <c r="E170" s="38"/>
      <c r="H170" s="27">
        <f t="shared" si="8"/>
        <v>0</v>
      </c>
      <c r="I170" s="43"/>
      <c r="J170" s="28">
        <f t="shared" si="9"/>
        <v>0</v>
      </c>
      <c r="K170" s="29">
        <f t="shared" si="10"/>
        <v>0</v>
      </c>
      <c r="L170" s="28">
        <f t="shared" si="11"/>
        <v>0</v>
      </c>
    </row>
    <row r="171" spans="5:12" ht="15.75" customHeight="1" x14ac:dyDescent="0.25">
      <c r="E171" s="38"/>
      <c r="H171" s="27">
        <f t="shared" si="8"/>
        <v>0</v>
      </c>
      <c r="I171" s="43"/>
      <c r="J171" s="28">
        <f t="shared" si="9"/>
        <v>0</v>
      </c>
      <c r="K171" s="29">
        <f t="shared" si="10"/>
        <v>0</v>
      </c>
      <c r="L171" s="28">
        <f t="shared" si="11"/>
        <v>0</v>
      </c>
    </row>
    <row r="172" spans="5:12" ht="15.75" customHeight="1" x14ac:dyDescent="0.25">
      <c r="E172" s="38"/>
      <c r="H172" s="27">
        <f t="shared" si="8"/>
        <v>0</v>
      </c>
      <c r="I172" s="43"/>
      <c r="J172" s="28">
        <f t="shared" si="9"/>
        <v>0</v>
      </c>
      <c r="K172" s="29">
        <f t="shared" si="10"/>
        <v>0</v>
      </c>
      <c r="L172" s="28">
        <f t="shared" si="11"/>
        <v>0</v>
      </c>
    </row>
    <row r="173" spans="5:12" ht="15.75" customHeight="1" x14ac:dyDescent="0.25">
      <c r="E173" s="38"/>
      <c r="H173" s="27">
        <f t="shared" si="8"/>
        <v>0</v>
      </c>
      <c r="I173" s="43"/>
      <c r="J173" s="28">
        <f t="shared" si="9"/>
        <v>0</v>
      </c>
      <c r="K173" s="29">
        <f t="shared" si="10"/>
        <v>0</v>
      </c>
      <c r="L173" s="28">
        <f t="shared" si="11"/>
        <v>0</v>
      </c>
    </row>
    <row r="174" spans="5:12" ht="15.75" customHeight="1" x14ac:dyDescent="0.25">
      <c r="E174" s="38"/>
      <c r="H174" s="27">
        <f t="shared" si="8"/>
        <v>0</v>
      </c>
      <c r="I174" s="43"/>
      <c r="J174" s="28">
        <f t="shared" si="9"/>
        <v>0</v>
      </c>
      <c r="K174" s="29">
        <f t="shared" si="10"/>
        <v>0</v>
      </c>
      <c r="L174" s="28">
        <f t="shared" si="11"/>
        <v>0</v>
      </c>
    </row>
    <row r="175" spans="5:12" x14ac:dyDescent="0.25">
      <c r="H175" s="27">
        <f t="shared" si="8"/>
        <v>0</v>
      </c>
      <c r="J175" s="28">
        <f t="shared" si="9"/>
        <v>0</v>
      </c>
      <c r="K175" s="29">
        <f t="shared" si="10"/>
        <v>0</v>
      </c>
      <c r="L175" s="28">
        <f t="shared" si="11"/>
        <v>0</v>
      </c>
    </row>
    <row r="176" spans="5:12" x14ac:dyDescent="0.25">
      <c r="H176" s="27">
        <f t="shared" si="8"/>
        <v>0</v>
      </c>
      <c r="J176" s="28">
        <f t="shared" si="9"/>
        <v>0</v>
      </c>
      <c r="K176" s="29">
        <f t="shared" si="10"/>
        <v>0</v>
      </c>
      <c r="L176" s="28">
        <f t="shared" si="11"/>
        <v>0</v>
      </c>
    </row>
    <row r="177" spans="8:12" x14ac:dyDescent="0.25">
      <c r="H177" s="27">
        <f t="shared" si="8"/>
        <v>0</v>
      </c>
      <c r="J177" s="28">
        <f t="shared" si="9"/>
        <v>0</v>
      </c>
      <c r="K177" s="29">
        <f t="shared" si="10"/>
        <v>0</v>
      </c>
      <c r="L177" s="28">
        <f t="shared" si="11"/>
        <v>0</v>
      </c>
    </row>
    <row r="178" spans="8:12" x14ac:dyDescent="0.25">
      <c r="H178" s="27">
        <f t="shared" si="8"/>
        <v>0</v>
      </c>
      <c r="J178" s="28">
        <f t="shared" si="9"/>
        <v>0</v>
      </c>
      <c r="K178" s="29">
        <f t="shared" si="10"/>
        <v>0</v>
      </c>
      <c r="L178" s="28">
        <f t="shared" si="11"/>
        <v>0</v>
      </c>
    </row>
    <row r="179" spans="8:12" x14ac:dyDescent="0.25">
      <c r="H179" s="27">
        <f t="shared" si="8"/>
        <v>0</v>
      </c>
      <c r="J179" s="28">
        <f t="shared" si="9"/>
        <v>0</v>
      </c>
      <c r="K179" s="29">
        <f t="shared" si="10"/>
        <v>0</v>
      </c>
      <c r="L179" s="28">
        <f t="shared" si="11"/>
        <v>0</v>
      </c>
    </row>
    <row r="180" spans="8:12" x14ac:dyDescent="0.25">
      <c r="H180" s="27">
        <f t="shared" si="8"/>
        <v>0</v>
      </c>
      <c r="J180" s="28">
        <f t="shared" si="9"/>
        <v>0</v>
      </c>
      <c r="K180" s="29">
        <f t="shared" si="10"/>
        <v>0</v>
      </c>
      <c r="L180" s="28">
        <f t="shared" si="11"/>
        <v>0</v>
      </c>
    </row>
    <row r="181" spans="8:12" x14ac:dyDescent="0.25">
      <c r="H181" s="27">
        <f t="shared" si="8"/>
        <v>0</v>
      </c>
      <c r="J181" s="28">
        <f t="shared" si="9"/>
        <v>0</v>
      </c>
      <c r="K181" s="29">
        <f t="shared" si="10"/>
        <v>0</v>
      </c>
      <c r="L181" s="28">
        <f t="shared" si="11"/>
        <v>0</v>
      </c>
    </row>
    <row r="182" spans="8:12" x14ac:dyDescent="0.25">
      <c r="H182" s="27">
        <f t="shared" si="8"/>
        <v>0</v>
      </c>
      <c r="J182" s="28">
        <f t="shared" si="9"/>
        <v>0</v>
      </c>
      <c r="K182" s="29">
        <f t="shared" si="10"/>
        <v>0</v>
      </c>
      <c r="L182" s="28">
        <f t="shared" si="11"/>
        <v>0</v>
      </c>
    </row>
    <row r="183" spans="8:12" x14ac:dyDescent="0.25">
      <c r="H183" s="27">
        <f t="shared" si="8"/>
        <v>0</v>
      </c>
      <c r="J183" s="28">
        <f t="shared" si="9"/>
        <v>0</v>
      </c>
      <c r="K183" s="29">
        <f t="shared" si="10"/>
        <v>0</v>
      </c>
      <c r="L183" s="28">
        <f t="shared" si="11"/>
        <v>0</v>
      </c>
    </row>
    <row r="184" spans="8:12" x14ac:dyDescent="0.25">
      <c r="H184" s="27">
        <f t="shared" si="8"/>
        <v>0</v>
      </c>
      <c r="J184" s="28">
        <f t="shared" si="9"/>
        <v>0</v>
      </c>
      <c r="K184" s="29">
        <f t="shared" si="10"/>
        <v>0</v>
      </c>
      <c r="L184" s="28">
        <f t="shared" si="11"/>
        <v>0</v>
      </c>
    </row>
    <row r="185" spans="8:12" x14ac:dyDescent="0.25">
      <c r="H185" s="27">
        <f t="shared" si="8"/>
        <v>0</v>
      </c>
      <c r="J185" s="28">
        <f t="shared" si="9"/>
        <v>0</v>
      </c>
      <c r="K185" s="29">
        <f t="shared" si="10"/>
        <v>0</v>
      </c>
      <c r="L185" s="28">
        <f t="shared" si="11"/>
        <v>0</v>
      </c>
    </row>
    <row r="186" spans="8:12" x14ac:dyDescent="0.25">
      <c r="H186" s="27">
        <f t="shared" si="8"/>
        <v>0</v>
      </c>
      <c r="J186" s="28">
        <f t="shared" si="9"/>
        <v>0</v>
      </c>
      <c r="K186" s="29">
        <f t="shared" si="10"/>
        <v>0</v>
      </c>
      <c r="L186" s="28">
        <f t="shared" si="11"/>
        <v>0</v>
      </c>
    </row>
    <row r="187" spans="8:12" x14ac:dyDescent="0.25">
      <c r="H187" s="27">
        <f t="shared" si="8"/>
        <v>0</v>
      </c>
      <c r="J187" s="28">
        <f t="shared" si="9"/>
        <v>0</v>
      </c>
      <c r="K187" s="29">
        <f t="shared" si="10"/>
        <v>0</v>
      </c>
      <c r="L187" s="28">
        <f t="shared" si="11"/>
        <v>0</v>
      </c>
    </row>
    <row r="188" spans="8:12" x14ac:dyDescent="0.25">
      <c r="H188" s="27">
        <f t="shared" si="8"/>
        <v>0</v>
      </c>
      <c r="J188" s="28">
        <f t="shared" si="9"/>
        <v>0</v>
      </c>
      <c r="K188" s="29">
        <f t="shared" si="10"/>
        <v>0</v>
      </c>
      <c r="L188" s="28">
        <f t="shared" si="11"/>
        <v>0</v>
      </c>
    </row>
    <row r="189" spans="8:12" x14ac:dyDescent="0.25">
      <c r="H189" s="27">
        <f t="shared" si="8"/>
        <v>0</v>
      </c>
      <c r="J189" s="28">
        <f t="shared" si="9"/>
        <v>0</v>
      </c>
      <c r="K189" s="29">
        <f t="shared" si="10"/>
        <v>0</v>
      </c>
      <c r="L189" s="28">
        <f t="shared" si="11"/>
        <v>0</v>
      </c>
    </row>
    <row r="190" spans="8:12" x14ac:dyDescent="0.25">
      <c r="H190" s="27">
        <f t="shared" si="8"/>
        <v>0</v>
      </c>
      <c r="J190" s="28">
        <f t="shared" si="9"/>
        <v>0</v>
      </c>
      <c r="K190" s="29">
        <f t="shared" si="10"/>
        <v>0</v>
      </c>
      <c r="L190" s="28">
        <f t="shared" si="11"/>
        <v>0</v>
      </c>
    </row>
    <row r="191" spans="8:12" x14ac:dyDescent="0.25">
      <c r="H191" s="27">
        <f t="shared" si="8"/>
        <v>0</v>
      </c>
      <c r="J191" s="28">
        <f t="shared" si="9"/>
        <v>0</v>
      </c>
      <c r="K191" s="29">
        <f t="shared" si="10"/>
        <v>0</v>
      </c>
      <c r="L191" s="28">
        <f t="shared" si="11"/>
        <v>0</v>
      </c>
    </row>
    <row r="192" spans="8:12" x14ac:dyDescent="0.25">
      <c r="H192" s="27">
        <f t="shared" si="8"/>
        <v>0</v>
      </c>
      <c r="J192" s="28">
        <f t="shared" si="9"/>
        <v>0</v>
      </c>
      <c r="K192" s="29">
        <f t="shared" si="10"/>
        <v>0</v>
      </c>
      <c r="L192" s="28">
        <f t="shared" si="11"/>
        <v>0</v>
      </c>
    </row>
    <row r="193" spans="8:12" x14ac:dyDescent="0.25">
      <c r="H193" s="27">
        <f t="shared" si="8"/>
        <v>0</v>
      </c>
      <c r="J193" s="28">
        <f t="shared" si="9"/>
        <v>0</v>
      </c>
      <c r="K193" s="29">
        <f t="shared" si="10"/>
        <v>0</v>
      </c>
      <c r="L193" s="28">
        <f t="shared" si="11"/>
        <v>0</v>
      </c>
    </row>
    <row r="194" spans="8:12" x14ac:dyDescent="0.25">
      <c r="H194" s="27">
        <f t="shared" ref="H194:H257" si="12">E194*F194</f>
        <v>0</v>
      </c>
      <c r="J194" s="28">
        <f t="shared" ref="J194:J257" si="13">I194*H194</f>
        <v>0</v>
      </c>
      <c r="K194" s="29">
        <f t="shared" ref="K194:K257" si="14">IF(M194="товар",$Q$4, IF(M194="м/к",$Q$2,IF(M194="комп",$Q$3,IF(M194="услуга",$Q$5,0))))</f>
        <v>0</v>
      </c>
      <c r="L194" s="28">
        <f t="shared" ref="L194:L257" si="15">(1+K194)*J194</f>
        <v>0</v>
      </c>
    </row>
    <row r="195" spans="8:12" x14ac:dyDescent="0.25">
      <c r="H195" s="27">
        <f t="shared" si="12"/>
        <v>0</v>
      </c>
      <c r="J195" s="28">
        <f t="shared" si="13"/>
        <v>0</v>
      </c>
      <c r="K195" s="29">
        <f t="shared" si="14"/>
        <v>0</v>
      </c>
      <c r="L195" s="28">
        <f t="shared" si="15"/>
        <v>0</v>
      </c>
    </row>
    <row r="196" spans="8:12" x14ac:dyDescent="0.25">
      <c r="H196" s="27">
        <f t="shared" si="12"/>
        <v>0</v>
      </c>
      <c r="J196" s="28">
        <f t="shared" si="13"/>
        <v>0</v>
      </c>
      <c r="K196" s="29">
        <f t="shared" si="14"/>
        <v>0</v>
      </c>
      <c r="L196" s="28">
        <f t="shared" si="15"/>
        <v>0</v>
      </c>
    </row>
    <row r="197" spans="8:12" x14ac:dyDescent="0.25">
      <c r="H197" s="27">
        <f t="shared" si="12"/>
        <v>0</v>
      </c>
      <c r="J197" s="28">
        <f t="shared" si="13"/>
        <v>0</v>
      </c>
      <c r="K197" s="29">
        <f t="shared" si="14"/>
        <v>0</v>
      </c>
      <c r="L197" s="28">
        <f t="shared" si="15"/>
        <v>0</v>
      </c>
    </row>
    <row r="198" spans="8:12" x14ac:dyDescent="0.25">
      <c r="H198" s="27">
        <f t="shared" si="12"/>
        <v>0</v>
      </c>
      <c r="J198" s="28">
        <f t="shared" si="13"/>
        <v>0</v>
      </c>
      <c r="K198" s="29">
        <f t="shared" si="14"/>
        <v>0</v>
      </c>
      <c r="L198" s="28">
        <f t="shared" si="15"/>
        <v>0</v>
      </c>
    </row>
    <row r="199" spans="8:12" x14ac:dyDescent="0.25">
      <c r="H199" s="27">
        <f t="shared" si="12"/>
        <v>0</v>
      </c>
      <c r="J199" s="28">
        <f t="shared" si="13"/>
        <v>0</v>
      </c>
      <c r="K199" s="29">
        <f t="shared" si="14"/>
        <v>0</v>
      </c>
      <c r="L199" s="28">
        <f t="shared" si="15"/>
        <v>0</v>
      </c>
    </row>
    <row r="200" spans="8:12" x14ac:dyDescent="0.25">
      <c r="H200" s="27">
        <f t="shared" si="12"/>
        <v>0</v>
      </c>
      <c r="J200" s="28">
        <f t="shared" si="13"/>
        <v>0</v>
      </c>
      <c r="K200" s="29">
        <f t="shared" si="14"/>
        <v>0</v>
      </c>
      <c r="L200" s="28">
        <f t="shared" si="15"/>
        <v>0</v>
      </c>
    </row>
    <row r="201" spans="8:12" x14ac:dyDescent="0.25">
      <c r="H201" s="27">
        <f t="shared" si="12"/>
        <v>0</v>
      </c>
      <c r="J201" s="28">
        <f t="shared" si="13"/>
        <v>0</v>
      </c>
      <c r="K201" s="29">
        <f t="shared" si="14"/>
        <v>0</v>
      </c>
      <c r="L201" s="28">
        <f t="shared" si="15"/>
        <v>0</v>
      </c>
    </row>
    <row r="202" spans="8:12" x14ac:dyDescent="0.25">
      <c r="H202" s="27">
        <f t="shared" si="12"/>
        <v>0</v>
      </c>
      <c r="J202" s="28">
        <f t="shared" si="13"/>
        <v>0</v>
      </c>
      <c r="K202" s="29">
        <f t="shared" si="14"/>
        <v>0</v>
      </c>
      <c r="L202" s="28">
        <f t="shared" si="15"/>
        <v>0</v>
      </c>
    </row>
    <row r="203" spans="8:12" x14ac:dyDescent="0.25">
      <c r="H203" s="27">
        <f t="shared" si="12"/>
        <v>0</v>
      </c>
      <c r="J203" s="28">
        <f t="shared" si="13"/>
        <v>0</v>
      </c>
      <c r="K203" s="29">
        <f t="shared" si="14"/>
        <v>0</v>
      </c>
      <c r="L203" s="28">
        <f t="shared" si="15"/>
        <v>0</v>
      </c>
    </row>
    <row r="204" spans="8:12" x14ac:dyDescent="0.25">
      <c r="H204" s="27">
        <f t="shared" si="12"/>
        <v>0</v>
      </c>
      <c r="J204" s="28">
        <f t="shared" si="13"/>
        <v>0</v>
      </c>
      <c r="K204" s="29">
        <f t="shared" si="14"/>
        <v>0</v>
      </c>
      <c r="L204" s="28">
        <f t="shared" si="15"/>
        <v>0</v>
      </c>
    </row>
    <row r="205" spans="8:12" x14ac:dyDescent="0.25">
      <c r="H205" s="27">
        <f t="shared" si="12"/>
        <v>0</v>
      </c>
      <c r="J205" s="28">
        <f t="shared" si="13"/>
        <v>0</v>
      </c>
      <c r="K205" s="29">
        <f t="shared" si="14"/>
        <v>0</v>
      </c>
      <c r="L205" s="28">
        <f t="shared" si="15"/>
        <v>0</v>
      </c>
    </row>
    <row r="206" spans="8:12" x14ac:dyDescent="0.25">
      <c r="H206" s="27">
        <f t="shared" si="12"/>
        <v>0</v>
      </c>
      <c r="J206" s="28">
        <f t="shared" si="13"/>
        <v>0</v>
      </c>
      <c r="K206" s="29">
        <f t="shared" si="14"/>
        <v>0</v>
      </c>
      <c r="L206" s="28">
        <f t="shared" si="15"/>
        <v>0</v>
      </c>
    </row>
    <row r="207" spans="8:12" x14ac:dyDescent="0.25">
      <c r="H207" s="27">
        <f t="shared" si="12"/>
        <v>0</v>
      </c>
      <c r="J207" s="28">
        <f t="shared" si="13"/>
        <v>0</v>
      </c>
      <c r="K207" s="29">
        <f t="shared" si="14"/>
        <v>0</v>
      </c>
      <c r="L207" s="28">
        <f t="shared" si="15"/>
        <v>0</v>
      </c>
    </row>
    <row r="208" spans="8:12" x14ac:dyDescent="0.25">
      <c r="H208" s="27">
        <f t="shared" si="12"/>
        <v>0</v>
      </c>
      <c r="J208" s="28">
        <f t="shared" si="13"/>
        <v>0</v>
      </c>
      <c r="K208" s="29">
        <f t="shared" si="14"/>
        <v>0</v>
      </c>
      <c r="L208" s="28">
        <f t="shared" si="15"/>
        <v>0</v>
      </c>
    </row>
    <row r="209" spans="8:12" x14ac:dyDescent="0.25">
      <c r="H209" s="27">
        <f t="shared" si="12"/>
        <v>0</v>
      </c>
      <c r="J209" s="28">
        <f t="shared" si="13"/>
        <v>0</v>
      </c>
      <c r="K209" s="29">
        <f t="shared" si="14"/>
        <v>0</v>
      </c>
      <c r="L209" s="28">
        <f t="shared" si="15"/>
        <v>0</v>
      </c>
    </row>
    <row r="210" spans="8:12" x14ac:dyDescent="0.25">
      <c r="H210" s="27">
        <f t="shared" si="12"/>
        <v>0</v>
      </c>
      <c r="J210" s="28">
        <f t="shared" si="13"/>
        <v>0</v>
      </c>
      <c r="K210" s="29">
        <f t="shared" si="14"/>
        <v>0</v>
      </c>
      <c r="L210" s="28">
        <f t="shared" si="15"/>
        <v>0</v>
      </c>
    </row>
    <row r="211" spans="8:12" x14ac:dyDescent="0.25">
      <c r="H211" s="27">
        <f t="shared" si="12"/>
        <v>0</v>
      </c>
      <c r="J211" s="28">
        <f t="shared" si="13"/>
        <v>0</v>
      </c>
      <c r="K211" s="29">
        <f t="shared" si="14"/>
        <v>0</v>
      </c>
      <c r="L211" s="28">
        <f t="shared" si="15"/>
        <v>0</v>
      </c>
    </row>
    <row r="212" spans="8:12" x14ac:dyDescent="0.25">
      <c r="H212" s="27">
        <f t="shared" si="12"/>
        <v>0</v>
      </c>
      <c r="J212" s="28">
        <f t="shared" si="13"/>
        <v>0</v>
      </c>
      <c r="K212" s="29">
        <f t="shared" si="14"/>
        <v>0</v>
      </c>
      <c r="L212" s="28">
        <f t="shared" si="15"/>
        <v>0</v>
      </c>
    </row>
    <row r="213" spans="8:12" x14ac:dyDescent="0.25">
      <c r="H213" s="27">
        <f t="shared" si="12"/>
        <v>0</v>
      </c>
      <c r="J213" s="28">
        <f t="shared" si="13"/>
        <v>0</v>
      </c>
      <c r="K213" s="29">
        <f t="shared" si="14"/>
        <v>0</v>
      </c>
      <c r="L213" s="28">
        <f t="shared" si="15"/>
        <v>0</v>
      </c>
    </row>
    <row r="214" spans="8:12" x14ac:dyDescent="0.25">
      <c r="H214" s="27">
        <f t="shared" si="12"/>
        <v>0</v>
      </c>
      <c r="J214" s="28">
        <f t="shared" si="13"/>
        <v>0</v>
      </c>
      <c r="K214" s="29">
        <f t="shared" si="14"/>
        <v>0</v>
      </c>
      <c r="L214" s="28">
        <f t="shared" si="15"/>
        <v>0</v>
      </c>
    </row>
    <row r="215" spans="8:12" x14ac:dyDescent="0.25">
      <c r="H215" s="27">
        <f t="shared" si="12"/>
        <v>0</v>
      </c>
      <c r="J215" s="28">
        <f t="shared" si="13"/>
        <v>0</v>
      </c>
      <c r="K215" s="29">
        <f t="shared" si="14"/>
        <v>0</v>
      </c>
      <c r="L215" s="28">
        <f t="shared" si="15"/>
        <v>0</v>
      </c>
    </row>
    <row r="216" spans="8:12" x14ac:dyDescent="0.25">
      <c r="H216" s="27">
        <f t="shared" si="12"/>
        <v>0</v>
      </c>
      <c r="J216" s="28">
        <f t="shared" si="13"/>
        <v>0</v>
      </c>
      <c r="K216" s="29">
        <f t="shared" si="14"/>
        <v>0</v>
      </c>
      <c r="L216" s="28">
        <f t="shared" si="15"/>
        <v>0</v>
      </c>
    </row>
    <row r="217" spans="8:12" x14ac:dyDescent="0.25">
      <c r="H217" s="27">
        <f t="shared" si="12"/>
        <v>0</v>
      </c>
      <c r="J217" s="28">
        <f t="shared" si="13"/>
        <v>0</v>
      </c>
      <c r="K217" s="29">
        <f t="shared" si="14"/>
        <v>0</v>
      </c>
      <c r="L217" s="28">
        <f t="shared" si="15"/>
        <v>0</v>
      </c>
    </row>
    <row r="218" spans="8:12" x14ac:dyDescent="0.25">
      <c r="H218" s="27">
        <f t="shared" si="12"/>
        <v>0</v>
      </c>
      <c r="J218" s="28">
        <f t="shared" si="13"/>
        <v>0</v>
      </c>
      <c r="K218" s="29">
        <f t="shared" si="14"/>
        <v>0</v>
      </c>
      <c r="L218" s="28">
        <f t="shared" si="15"/>
        <v>0</v>
      </c>
    </row>
    <row r="219" spans="8:12" x14ac:dyDescent="0.25">
      <c r="H219" s="27">
        <f t="shared" si="12"/>
        <v>0</v>
      </c>
      <c r="J219" s="28">
        <f t="shared" si="13"/>
        <v>0</v>
      </c>
      <c r="K219" s="29">
        <f t="shared" si="14"/>
        <v>0</v>
      </c>
      <c r="L219" s="28">
        <f t="shared" si="15"/>
        <v>0</v>
      </c>
    </row>
    <row r="220" spans="8:12" x14ac:dyDescent="0.25">
      <c r="H220" s="27">
        <f t="shared" si="12"/>
        <v>0</v>
      </c>
      <c r="J220" s="28">
        <f t="shared" si="13"/>
        <v>0</v>
      </c>
      <c r="K220" s="29">
        <f t="shared" si="14"/>
        <v>0</v>
      </c>
      <c r="L220" s="28">
        <f t="shared" si="15"/>
        <v>0</v>
      </c>
    </row>
    <row r="221" spans="8:12" x14ac:dyDescent="0.25">
      <c r="H221" s="27">
        <f t="shared" si="12"/>
        <v>0</v>
      </c>
      <c r="J221" s="28">
        <f t="shared" si="13"/>
        <v>0</v>
      </c>
      <c r="K221" s="29">
        <f t="shared" si="14"/>
        <v>0</v>
      </c>
      <c r="L221" s="28">
        <f t="shared" si="15"/>
        <v>0</v>
      </c>
    </row>
    <row r="222" spans="8:12" x14ac:dyDescent="0.25">
      <c r="H222" s="27">
        <f t="shared" si="12"/>
        <v>0</v>
      </c>
      <c r="J222" s="28">
        <f t="shared" si="13"/>
        <v>0</v>
      </c>
      <c r="K222" s="29">
        <f t="shared" si="14"/>
        <v>0</v>
      </c>
      <c r="L222" s="28">
        <f t="shared" si="15"/>
        <v>0</v>
      </c>
    </row>
    <row r="223" spans="8:12" x14ac:dyDescent="0.25">
      <c r="H223" s="27">
        <f t="shared" si="12"/>
        <v>0</v>
      </c>
      <c r="J223" s="28">
        <f t="shared" si="13"/>
        <v>0</v>
      </c>
      <c r="K223" s="29">
        <f t="shared" si="14"/>
        <v>0</v>
      </c>
      <c r="L223" s="28">
        <f t="shared" si="15"/>
        <v>0</v>
      </c>
    </row>
    <row r="224" spans="8:12" x14ac:dyDescent="0.25">
      <c r="H224" s="27">
        <f t="shared" si="12"/>
        <v>0</v>
      </c>
      <c r="J224" s="28">
        <f t="shared" si="13"/>
        <v>0</v>
      </c>
      <c r="K224" s="29">
        <f t="shared" si="14"/>
        <v>0</v>
      </c>
      <c r="L224" s="28">
        <f t="shared" si="15"/>
        <v>0</v>
      </c>
    </row>
    <row r="225" spans="8:12" x14ac:dyDescent="0.25">
      <c r="H225" s="27">
        <f t="shared" si="12"/>
        <v>0</v>
      </c>
      <c r="J225" s="28">
        <f t="shared" si="13"/>
        <v>0</v>
      </c>
      <c r="K225" s="29">
        <f t="shared" si="14"/>
        <v>0</v>
      </c>
      <c r="L225" s="28">
        <f t="shared" si="15"/>
        <v>0</v>
      </c>
    </row>
    <row r="226" spans="8:12" x14ac:dyDescent="0.25">
      <c r="H226" s="27">
        <f t="shared" si="12"/>
        <v>0</v>
      </c>
      <c r="J226" s="28">
        <f t="shared" si="13"/>
        <v>0</v>
      </c>
      <c r="K226" s="29">
        <f t="shared" si="14"/>
        <v>0</v>
      </c>
      <c r="L226" s="28">
        <f t="shared" si="15"/>
        <v>0</v>
      </c>
    </row>
    <row r="227" spans="8:12" x14ac:dyDescent="0.25">
      <c r="H227" s="27">
        <f t="shared" si="12"/>
        <v>0</v>
      </c>
      <c r="J227" s="28">
        <f t="shared" si="13"/>
        <v>0</v>
      </c>
      <c r="K227" s="29">
        <f t="shared" si="14"/>
        <v>0</v>
      </c>
      <c r="L227" s="28">
        <f t="shared" si="15"/>
        <v>0</v>
      </c>
    </row>
    <row r="228" spans="8:12" x14ac:dyDescent="0.25">
      <c r="H228" s="27">
        <f t="shared" si="12"/>
        <v>0</v>
      </c>
      <c r="J228" s="28">
        <f t="shared" si="13"/>
        <v>0</v>
      </c>
      <c r="K228" s="29">
        <f t="shared" si="14"/>
        <v>0</v>
      </c>
      <c r="L228" s="28">
        <f t="shared" si="15"/>
        <v>0</v>
      </c>
    </row>
    <row r="229" spans="8:12" x14ac:dyDescent="0.25">
      <c r="H229" s="27">
        <f t="shared" si="12"/>
        <v>0</v>
      </c>
      <c r="J229" s="28">
        <f t="shared" si="13"/>
        <v>0</v>
      </c>
      <c r="K229" s="29">
        <f t="shared" si="14"/>
        <v>0</v>
      </c>
      <c r="L229" s="28">
        <f t="shared" si="15"/>
        <v>0</v>
      </c>
    </row>
    <row r="230" spans="8:12" x14ac:dyDescent="0.25">
      <c r="H230" s="27">
        <f t="shared" si="12"/>
        <v>0</v>
      </c>
      <c r="J230" s="28">
        <f t="shared" si="13"/>
        <v>0</v>
      </c>
      <c r="K230" s="29">
        <f t="shared" si="14"/>
        <v>0</v>
      </c>
      <c r="L230" s="28">
        <f t="shared" si="15"/>
        <v>0</v>
      </c>
    </row>
    <row r="231" spans="8:12" x14ac:dyDescent="0.25">
      <c r="H231" s="27">
        <f t="shared" si="12"/>
        <v>0</v>
      </c>
      <c r="J231" s="28">
        <f t="shared" si="13"/>
        <v>0</v>
      </c>
      <c r="K231" s="29">
        <f t="shared" si="14"/>
        <v>0</v>
      </c>
      <c r="L231" s="28">
        <f t="shared" si="15"/>
        <v>0</v>
      </c>
    </row>
    <row r="232" spans="8:12" x14ac:dyDescent="0.25">
      <c r="H232" s="27">
        <f t="shared" si="12"/>
        <v>0</v>
      </c>
      <c r="J232" s="28">
        <f t="shared" si="13"/>
        <v>0</v>
      </c>
      <c r="K232" s="29">
        <f t="shared" si="14"/>
        <v>0</v>
      </c>
      <c r="L232" s="28">
        <f t="shared" si="15"/>
        <v>0</v>
      </c>
    </row>
    <row r="233" spans="8:12" x14ac:dyDescent="0.25">
      <c r="H233" s="27">
        <f t="shared" si="12"/>
        <v>0</v>
      </c>
      <c r="J233" s="28">
        <f t="shared" si="13"/>
        <v>0</v>
      </c>
      <c r="K233" s="29">
        <f t="shared" si="14"/>
        <v>0</v>
      </c>
      <c r="L233" s="28">
        <f t="shared" si="15"/>
        <v>0</v>
      </c>
    </row>
    <row r="234" spans="8:12" x14ac:dyDescent="0.25">
      <c r="H234" s="27">
        <f t="shared" si="12"/>
        <v>0</v>
      </c>
      <c r="J234" s="28">
        <f t="shared" si="13"/>
        <v>0</v>
      </c>
      <c r="K234" s="29">
        <f t="shared" si="14"/>
        <v>0</v>
      </c>
      <c r="L234" s="28">
        <f t="shared" si="15"/>
        <v>0</v>
      </c>
    </row>
    <row r="235" spans="8:12" x14ac:dyDescent="0.25">
      <c r="H235" s="27">
        <f t="shared" si="12"/>
        <v>0</v>
      </c>
      <c r="J235" s="28">
        <f t="shared" si="13"/>
        <v>0</v>
      </c>
      <c r="K235" s="29">
        <f t="shared" si="14"/>
        <v>0</v>
      </c>
      <c r="L235" s="28">
        <f t="shared" si="15"/>
        <v>0</v>
      </c>
    </row>
    <row r="236" spans="8:12" x14ac:dyDescent="0.25">
      <c r="H236" s="27">
        <f t="shared" si="12"/>
        <v>0</v>
      </c>
      <c r="J236" s="28">
        <f t="shared" si="13"/>
        <v>0</v>
      </c>
      <c r="K236" s="29">
        <f t="shared" si="14"/>
        <v>0</v>
      </c>
      <c r="L236" s="28">
        <f t="shared" si="15"/>
        <v>0</v>
      </c>
    </row>
    <row r="237" spans="8:12" x14ac:dyDescent="0.25">
      <c r="H237" s="27">
        <f t="shared" si="12"/>
        <v>0</v>
      </c>
      <c r="J237" s="28">
        <f t="shared" si="13"/>
        <v>0</v>
      </c>
      <c r="K237" s="29">
        <f t="shared" si="14"/>
        <v>0</v>
      </c>
      <c r="L237" s="28">
        <f t="shared" si="15"/>
        <v>0</v>
      </c>
    </row>
    <row r="238" spans="8:12" x14ac:dyDescent="0.25">
      <c r="H238" s="27">
        <f t="shared" si="12"/>
        <v>0</v>
      </c>
      <c r="J238" s="28">
        <f t="shared" si="13"/>
        <v>0</v>
      </c>
      <c r="K238" s="29">
        <f t="shared" si="14"/>
        <v>0</v>
      </c>
      <c r="L238" s="28">
        <f t="shared" si="15"/>
        <v>0</v>
      </c>
    </row>
    <row r="239" spans="8:12" x14ac:dyDescent="0.25">
      <c r="H239" s="27">
        <f t="shared" si="12"/>
        <v>0</v>
      </c>
      <c r="J239" s="28">
        <f t="shared" si="13"/>
        <v>0</v>
      </c>
      <c r="K239" s="29">
        <f t="shared" si="14"/>
        <v>0</v>
      </c>
      <c r="L239" s="28">
        <f t="shared" si="15"/>
        <v>0</v>
      </c>
    </row>
    <row r="240" spans="8:12" x14ac:dyDescent="0.25">
      <c r="H240" s="27">
        <f t="shared" si="12"/>
        <v>0</v>
      </c>
      <c r="J240" s="28">
        <f t="shared" si="13"/>
        <v>0</v>
      </c>
      <c r="K240" s="29">
        <f t="shared" si="14"/>
        <v>0</v>
      </c>
      <c r="L240" s="28">
        <f t="shared" si="15"/>
        <v>0</v>
      </c>
    </row>
    <row r="241" spans="8:12" x14ac:dyDescent="0.25">
      <c r="H241" s="27">
        <f t="shared" si="12"/>
        <v>0</v>
      </c>
      <c r="J241" s="28">
        <f t="shared" si="13"/>
        <v>0</v>
      </c>
      <c r="K241" s="29">
        <f t="shared" si="14"/>
        <v>0</v>
      </c>
      <c r="L241" s="28">
        <f t="shared" si="15"/>
        <v>0</v>
      </c>
    </row>
    <row r="242" spans="8:12" x14ac:dyDescent="0.25">
      <c r="H242" s="27">
        <f t="shared" si="12"/>
        <v>0</v>
      </c>
      <c r="J242" s="28">
        <f t="shared" si="13"/>
        <v>0</v>
      </c>
      <c r="K242" s="29">
        <f t="shared" si="14"/>
        <v>0</v>
      </c>
      <c r="L242" s="28">
        <f t="shared" si="15"/>
        <v>0</v>
      </c>
    </row>
    <row r="243" spans="8:12" x14ac:dyDescent="0.25">
      <c r="H243" s="27">
        <f t="shared" si="12"/>
        <v>0</v>
      </c>
      <c r="J243" s="28">
        <f t="shared" si="13"/>
        <v>0</v>
      </c>
      <c r="K243" s="29">
        <f t="shared" si="14"/>
        <v>0</v>
      </c>
      <c r="L243" s="28">
        <f t="shared" si="15"/>
        <v>0</v>
      </c>
    </row>
    <row r="244" spans="8:12" x14ac:dyDescent="0.25">
      <c r="H244" s="27">
        <f t="shared" si="12"/>
        <v>0</v>
      </c>
      <c r="J244" s="28">
        <f t="shared" si="13"/>
        <v>0</v>
      </c>
      <c r="K244" s="29">
        <f t="shared" si="14"/>
        <v>0</v>
      </c>
      <c r="L244" s="28">
        <f t="shared" si="15"/>
        <v>0</v>
      </c>
    </row>
    <row r="245" spans="8:12" x14ac:dyDescent="0.25">
      <c r="H245" s="27">
        <f t="shared" si="12"/>
        <v>0</v>
      </c>
      <c r="J245" s="28">
        <f t="shared" si="13"/>
        <v>0</v>
      </c>
      <c r="K245" s="29">
        <f t="shared" si="14"/>
        <v>0</v>
      </c>
      <c r="L245" s="28">
        <f t="shared" si="15"/>
        <v>0</v>
      </c>
    </row>
    <row r="246" spans="8:12" x14ac:dyDescent="0.25">
      <c r="H246" s="27">
        <f t="shared" si="12"/>
        <v>0</v>
      </c>
      <c r="J246" s="28">
        <f t="shared" si="13"/>
        <v>0</v>
      </c>
      <c r="K246" s="29">
        <f t="shared" si="14"/>
        <v>0</v>
      </c>
      <c r="L246" s="28">
        <f t="shared" si="15"/>
        <v>0</v>
      </c>
    </row>
    <row r="247" spans="8:12" x14ac:dyDescent="0.25">
      <c r="H247" s="27">
        <f t="shared" si="12"/>
        <v>0</v>
      </c>
      <c r="J247" s="28">
        <f t="shared" si="13"/>
        <v>0</v>
      </c>
      <c r="K247" s="29">
        <f t="shared" si="14"/>
        <v>0</v>
      </c>
      <c r="L247" s="28">
        <f t="shared" si="15"/>
        <v>0</v>
      </c>
    </row>
    <row r="248" spans="8:12" x14ac:dyDescent="0.25">
      <c r="H248" s="27">
        <f t="shared" si="12"/>
        <v>0</v>
      </c>
      <c r="J248" s="28">
        <f t="shared" si="13"/>
        <v>0</v>
      </c>
      <c r="K248" s="29">
        <f t="shared" si="14"/>
        <v>0</v>
      </c>
      <c r="L248" s="28">
        <f t="shared" si="15"/>
        <v>0</v>
      </c>
    </row>
    <row r="249" spans="8:12" x14ac:dyDescent="0.25">
      <c r="H249" s="27">
        <f t="shared" si="12"/>
        <v>0</v>
      </c>
      <c r="J249" s="28">
        <f t="shared" si="13"/>
        <v>0</v>
      </c>
      <c r="K249" s="29">
        <f t="shared" si="14"/>
        <v>0</v>
      </c>
      <c r="L249" s="28">
        <f t="shared" si="15"/>
        <v>0</v>
      </c>
    </row>
    <row r="250" spans="8:12" x14ac:dyDescent="0.25">
      <c r="H250" s="27">
        <f t="shared" si="12"/>
        <v>0</v>
      </c>
      <c r="J250" s="28">
        <f t="shared" si="13"/>
        <v>0</v>
      </c>
      <c r="K250" s="29">
        <f t="shared" si="14"/>
        <v>0</v>
      </c>
      <c r="L250" s="28">
        <f t="shared" si="15"/>
        <v>0</v>
      </c>
    </row>
    <row r="251" spans="8:12" x14ac:dyDescent="0.25">
      <c r="H251" s="27">
        <f t="shared" si="12"/>
        <v>0</v>
      </c>
      <c r="J251" s="28">
        <f t="shared" si="13"/>
        <v>0</v>
      </c>
      <c r="K251" s="29">
        <f t="shared" si="14"/>
        <v>0</v>
      </c>
      <c r="L251" s="28">
        <f t="shared" si="15"/>
        <v>0</v>
      </c>
    </row>
    <row r="252" spans="8:12" x14ac:dyDescent="0.25">
      <c r="H252" s="27">
        <f t="shared" si="12"/>
        <v>0</v>
      </c>
      <c r="J252" s="28">
        <f t="shared" si="13"/>
        <v>0</v>
      </c>
      <c r="K252" s="29">
        <f t="shared" si="14"/>
        <v>0</v>
      </c>
      <c r="L252" s="28">
        <f t="shared" si="15"/>
        <v>0</v>
      </c>
    </row>
    <row r="253" spans="8:12" x14ac:dyDescent="0.25">
      <c r="H253" s="27">
        <f t="shared" si="12"/>
        <v>0</v>
      </c>
      <c r="J253" s="28">
        <f t="shared" si="13"/>
        <v>0</v>
      </c>
      <c r="K253" s="29">
        <f t="shared" si="14"/>
        <v>0</v>
      </c>
      <c r="L253" s="28">
        <f t="shared" si="15"/>
        <v>0</v>
      </c>
    </row>
    <row r="254" spans="8:12" x14ac:dyDescent="0.25">
      <c r="H254" s="27">
        <f t="shared" si="12"/>
        <v>0</v>
      </c>
      <c r="J254" s="28">
        <f t="shared" si="13"/>
        <v>0</v>
      </c>
      <c r="K254" s="29">
        <f t="shared" si="14"/>
        <v>0</v>
      </c>
      <c r="L254" s="28">
        <f t="shared" si="15"/>
        <v>0</v>
      </c>
    </row>
    <row r="255" spans="8:12" x14ac:dyDescent="0.25">
      <c r="H255" s="27">
        <f t="shared" si="12"/>
        <v>0</v>
      </c>
      <c r="J255" s="28">
        <f t="shared" si="13"/>
        <v>0</v>
      </c>
      <c r="K255" s="29">
        <f t="shared" si="14"/>
        <v>0</v>
      </c>
      <c r="L255" s="28">
        <f t="shared" si="15"/>
        <v>0</v>
      </c>
    </row>
    <row r="256" spans="8:12" x14ac:dyDescent="0.25">
      <c r="H256" s="27">
        <f t="shared" si="12"/>
        <v>0</v>
      </c>
      <c r="J256" s="28">
        <f t="shared" si="13"/>
        <v>0</v>
      </c>
      <c r="K256" s="29">
        <f t="shared" si="14"/>
        <v>0</v>
      </c>
      <c r="L256" s="28">
        <f t="shared" si="15"/>
        <v>0</v>
      </c>
    </row>
    <row r="257" spans="8:12" x14ac:dyDescent="0.25">
      <c r="H257" s="27">
        <f t="shared" si="12"/>
        <v>0</v>
      </c>
      <c r="J257" s="28">
        <f t="shared" si="13"/>
        <v>0</v>
      </c>
      <c r="K257" s="29">
        <f t="shared" si="14"/>
        <v>0</v>
      </c>
      <c r="L257" s="28">
        <f t="shared" si="15"/>
        <v>0</v>
      </c>
    </row>
    <row r="258" spans="8:12" x14ac:dyDescent="0.25">
      <c r="H258" s="27">
        <f t="shared" ref="H258:H321" si="16">E258*F258</f>
        <v>0</v>
      </c>
      <c r="J258" s="28">
        <f t="shared" ref="J258:J321" si="17">I258*H258</f>
        <v>0</v>
      </c>
      <c r="K258" s="29">
        <f t="shared" ref="K258:K321" si="18">IF(M258="товар",$Q$4, IF(M258="м/к",$Q$2,IF(M258="комп",$Q$3,IF(M258="услуга",$Q$5,0))))</f>
        <v>0</v>
      </c>
      <c r="L258" s="28">
        <f t="shared" ref="L258:L321" si="19">(1+K258)*J258</f>
        <v>0</v>
      </c>
    </row>
    <row r="259" spans="8:12" x14ac:dyDescent="0.25">
      <c r="H259" s="27">
        <f t="shared" si="16"/>
        <v>0</v>
      </c>
      <c r="J259" s="28">
        <f t="shared" si="17"/>
        <v>0</v>
      </c>
      <c r="K259" s="29">
        <f t="shared" si="18"/>
        <v>0</v>
      </c>
      <c r="L259" s="28">
        <f t="shared" si="19"/>
        <v>0</v>
      </c>
    </row>
    <row r="260" spans="8:12" x14ac:dyDescent="0.25">
      <c r="H260" s="27">
        <f t="shared" si="16"/>
        <v>0</v>
      </c>
      <c r="J260" s="28">
        <f t="shared" si="17"/>
        <v>0</v>
      </c>
      <c r="K260" s="29">
        <f t="shared" si="18"/>
        <v>0</v>
      </c>
      <c r="L260" s="28">
        <f t="shared" si="19"/>
        <v>0</v>
      </c>
    </row>
    <row r="261" spans="8:12" x14ac:dyDescent="0.25">
      <c r="H261" s="27">
        <f t="shared" si="16"/>
        <v>0</v>
      </c>
      <c r="J261" s="28">
        <f t="shared" si="17"/>
        <v>0</v>
      </c>
      <c r="K261" s="29">
        <f t="shared" si="18"/>
        <v>0</v>
      </c>
      <c r="L261" s="28">
        <f t="shared" si="19"/>
        <v>0</v>
      </c>
    </row>
    <row r="262" spans="8:12" x14ac:dyDescent="0.25">
      <c r="H262" s="27">
        <f t="shared" si="16"/>
        <v>0</v>
      </c>
      <c r="J262" s="28">
        <f t="shared" si="17"/>
        <v>0</v>
      </c>
      <c r="K262" s="29">
        <f t="shared" si="18"/>
        <v>0</v>
      </c>
      <c r="L262" s="28">
        <f t="shared" si="19"/>
        <v>0</v>
      </c>
    </row>
    <row r="263" spans="8:12" x14ac:dyDescent="0.25">
      <c r="H263" s="27">
        <f t="shared" si="16"/>
        <v>0</v>
      </c>
      <c r="J263" s="28">
        <f t="shared" si="17"/>
        <v>0</v>
      </c>
      <c r="K263" s="29">
        <f t="shared" si="18"/>
        <v>0</v>
      </c>
      <c r="L263" s="28">
        <f t="shared" si="19"/>
        <v>0</v>
      </c>
    </row>
    <row r="264" spans="8:12" x14ac:dyDescent="0.25">
      <c r="H264" s="27">
        <f t="shared" si="16"/>
        <v>0</v>
      </c>
      <c r="J264" s="28">
        <f t="shared" si="17"/>
        <v>0</v>
      </c>
      <c r="K264" s="29">
        <f t="shared" si="18"/>
        <v>0</v>
      </c>
      <c r="L264" s="28">
        <f t="shared" si="19"/>
        <v>0</v>
      </c>
    </row>
    <row r="265" spans="8:12" x14ac:dyDescent="0.25">
      <c r="H265" s="27">
        <f t="shared" si="16"/>
        <v>0</v>
      </c>
      <c r="J265" s="28">
        <f t="shared" si="17"/>
        <v>0</v>
      </c>
      <c r="K265" s="29">
        <f t="shared" si="18"/>
        <v>0</v>
      </c>
      <c r="L265" s="28">
        <f t="shared" si="19"/>
        <v>0</v>
      </c>
    </row>
    <row r="266" spans="8:12" x14ac:dyDescent="0.25">
      <c r="H266" s="27">
        <f t="shared" si="16"/>
        <v>0</v>
      </c>
      <c r="J266" s="28">
        <f t="shared" si="17"/>
        <v>0</v>
      </c>
      <c r="K266" s="29">
        <f t="shared" si="18"/>
        <v>0</v>
      </c>
      <c r="L266" s="28">
        <f t="shared" si="19"/>
        <v>0</v>
      </c>
    </row>
    <row r="267" spans="8:12" x14ac:dyDescent="0.25">
      <c r="H267" s="27">
        <f t="shared" si="16"/>
        <v>0</v>
      </c>
      <c r="J267" s="28">
        <f t="shared" si="17"/>
        <v>0</v>
      </c>
      <c r="K267" s="29">
        <f t="shared" si="18"/>
        <v>0</v>
      </c>
      <c r="L267" s="28">
        <f t="shared" si="19"/>
        <v>0</v>
      </c>
    </row>
    <row r="268" spans="8:12" x14ac:dyDescent="0.25">
      <c r="H268" s="27">
        <f t="shared" si="16"/>
        <v>0</v>
      </c>
      <c r="J268" s="28">
        <f t="shared" si="17"/>
        <v>0</v>
      </c>
      <c r="K268" s="29">
        <f t="shared" si="18"/>
        <v>0</v>
      </c>
      <c r="L268" s="28">
        <f t="shared" si="19"/>
        <v>0</v>
      </c>
    </row>
    <row r="269" spans="8:12" x14ac:dyDescent="0.25">
      <c r="H269" s="27">
        <f t="shared" si="16"/>
        <v>0</v>
      </c>
      <c r="J269" s="28">
        <f t="shared" si="17"/>
        <v>0</v>
      </c>
      <c r="K269" s="29">
        <f t="shared" si="18"/>
        <v>0</v>
      </c>
      <c r="L269" s="28">
        <f t="shared" si="19"/>
        <v>0</v>
      </c>
    </row>
    <row r="270" spans="8:12" x14ac:dyDescent="0.25">
      <c r="H270" s="27">
        <f t="shared" si="16"/>
        <v>0</v>
      </c>
      <c r="J270" s="28">
        <f t="shared" si="17"/>
        <v>0</v>
      </c>
      <c r="K270" s="29">
        <f t="shared" si="18"/>
        <v>0</v>
      </c>
      <c r="L270" s="28">
        <f t="shared" si="19"/>
        <v>0</v>
      </c>
    </row>
    <row r="271" spans="8:12" x14ac:dyDescent="0.25">
      <c r="H271" s="27">
        <f t="shared" si="16"/>
        <v>0</v>
      </c>
      <c r="J271" s="28">
        <f t="shared" si="17"/>
        <v>0</v>
      </c>
      <c r="K271" s="29">
        <f t="shared" si="18"/>
        <v>0</v>
      </c>
      <c r="L271" s="28">
        <f t="shared" si="19"/>
        <v>0</v>
      </c>
    </row>
    <row r="272" spans="8:12" x14ac:dyDescent="0.25">
      <c r="H272" s="27">
        <f t="shared" si="16"/>
        <v>0</v>
      </c>
      <c r="J272" s="28">
        <f t="shared" si="17"/>
        <v>0</v>
      </c>
      <c r="K272" s="29">
        <f t="shared" si="18"/>
        <v>0</v>
      </c>
      <c r="L272" s="28">
        <f t="shared" si="19"/>
        <v>0</v>
      </c>
    </row>
    <row r="273" spans="8:12" x14ac:dyDescent="0.25">
      <c r="H273" s="27">
        <f t="shared" si="16"/>
        <v>0</v>
      </c>
      <c r="J273" s="28">
        <f t="shared" si="17"/>
        <v>0</v>
      </c>
      <c r="K273" s="29">
        <f t="shared" si="18"/>
        <v>0</v>
      </c>
      <c r="L273" s="28">
        <f t="shared" si="19"/>
        <v>0</v>
      </c>
    </row>
    <row r="274" spans="8:12" x14ac:dyDescent="0.25">
      <c r="H274" s="27">
        <f t="shared" si="16"/>
        <v>0</v>
      </c>
      <c r="J274" s="28">
        <f t="shared" si="17"/>
        <v>0</v>
      </c>
      <c r="K274" s="29">
        <f t="shared" si="18"/>
        <v>0</v>
      </c>
      <c r="L274" s="28">
        <f t="shared" si="19"/>
        <v>0</v>
      </c>
    </row>
    <row r="275" spans="8:12" x14ac:dyDescent="0.25">
      <c r="H275" s="27">
        <f t="shared" si="16"/>
        <v>0</v>
      </c>
      <c r="J275" s="28">
        <f t="shared" si="17"/>
        <v>0</v>
      </c>
      <c r="K275" s="29">
        <f t="shared" si="18"/>
        <v>0</v>
      </c>
      <c r="L275" s="28">
        <f t="shared" si="19"/>
        <v>0</v>
      </c>
    </row>
    <row r="276" spans="8:12" x14ac:dyDescent="0.25">
      <c r="H276" s="27">
        <f t="shared" si="16"/>
        <v>0</v>
      </c>
      <c r="J276" s="28">
        <f t="shared" si="17"/>
        <v>0</v>
      </c>
      <c r="K276" s="29">
        <f t="shared" si="18"/>
        <v>0</v>
      </c>
      <c r="L276" s="28">
        <f t="shared" si="19"/>
        <v>0</v>
      </c>
    </row>
    <row r="277" spans="8:12" x14ac:dyDescent="0.25">
      <c r="H277" s="27">
        <f t="shared" si="16"/>
        <v>0</v>
      </c>
      <c r="J277" s="28">
        <f t="shared" si="17"/>
        <v>0</v>
      </c>
      <c r="K277" s="29">
        <f t="shared" si="18"/>
        <v>0</v>
      </c>
      <c r="L277" s="28">
        <f t="shared" si="19"/>
        <v>0</v>
      </c>
    </row>
    <row r="278" spans="8:12" x14ac:dyDescent="0.25">
      <c r="H278" s="27">
        <f t="shared" si="16"/>
        <v>0</v>
      </c>
      <c r="J278" s="28">
        <f t="shared" si="17"/>
        <v>0</v>
      </c>
      <c r="K278" s="29">
        <f t="shared" si="18"/>
        <v>0</v>
      </c>
      <c r="L278" s="28">
        <f t="shared" si="19"/>
        <v>0</v>
      </c>
    </row>
    <row r="279" spans="8:12" x14ac:dyDescent="0.25">
      <c r="H279" s="27">
        <f t="shared" si="16"/>
        <v>0</v>
      </c>
      <c r="J279" s="28">
        <f t="shared" si="17"/>
        <v>0</v>
      </c>
      <c r="K279" s="29">
        <f t="shared" si="18"/>
        <v>0</v>
      </c>
      <c r="L279" s="28">
        <f t="shared" si="19"/>
        <v>0</v>
      </c>
    </row>
    <row r="280" spans="8:12" x14ac:dyDescent="0.25">
      <c r="H280" s="27">
        <f t="shared" si="16"/>
        <v>0</v>
      </c>
      <c r="J280" s="28">
        <f t="shared" si="17"/>
        <v>0</v>
      </c>
      <c r="K280" s="29">
        <f t="shared" si="18"/>
        <v>0</v>
      </c>
      <c r="L280" s="28">
        <f t="shared" si="19"/>
        <v>0</v>
      </c>
    </row>
    <row r="281" spans="8:12" x14ac:dyDescent="0.25">
      <c r="H281" s="27">
        <f t="shared" si="16"/>
        <v>0</v>
      </c>
      <c r="J281" s="28">
        <f t="shared" si="17"/>
        <v>0</v>
      </c>
      <c r="K281" s="29">
        <f t="shared" si="18"/>
        <v>0</v>
      </c>
      <c r="L281" s="28">
        <f t="shared" si="19"/>
        <v>0</v>
      </c>
    </row>
    <row r="282" spans="8:12" x14ac:dyDescent="0.25">
      <c r="H282" s="27">
        <f t="shared" si="16"/>
        <v>0</v>
      </c>
      <c r="J282" s="28">
        <f t="shared" si="17"/>
        <v>0</v>
      </c>
      <c r="K282" s="29">
        <f t="shared" si="18"/>
        <v>0</v>
      </c>
      <c r="L282" s="28">
        <f t="shared" si="19"/>
        <v>0</v>
      </c>
    </row>
    <row r="283" spans="8:12" x14ac:dyDescent="0.25">
      <c r="H283" s="27">
        <f t="shared" si="16"/>
        <v>0</v>
      </c>
      <c r="J283" s="28">
        <f t="shared" si="17"/>
        <v>0</v>
      </c>
      <c r="K283" s="29">
        <f t="shared" si="18"/>
        <v>0</v>
      </c>
      <c r="L283" s="28">
        <f t="shared" si="19"/>
        <v>0</v>
      </c>
    </row>
    <row r="284" spans="8:12" x14ac:dyDescent="0.25">
      <c r="H284" s="27">
        <f t="shared" si="16"/>
        <v>0</v>
      </c>
      <c r="J284" s="28">
        <f t="shared" si="17"/>
        <v>0</v>
      </c>
      <c r="K284" s="29">
        <f t="shared" si="18"/>
        <v>0</v>
      </c>
      <c r="L284" s="28">
        <f t="shared" si="19"/>
        <v>0</v>
      </c>
    </row>
    <row r="285" spans="8:12" x14ac:dyDescent="0.25">
      <c r="H285" s="27">
        <f t="shared" si="16"/>
        <v>0</v>
      </c>
      <c r="J285" s="28">
        <f t="shared" si="17"/>
        <v>0</v>
      </c>
      <c r="K285" s="29">
        <f t="shared" si="18"/>
        <v>0</v>
      </c>
      <c r="L285" s="28">
        <f t="shared" si="19"/>
        <v>0</v>
      </c>
    </row>
    <row r="286" spans="8:12" x14ac:dyDescent="0.25">
      <c r="H286" s="27">
        <f t="shared" si="16"/>
        <v>0</v>
      </c>
      <c r="J286" s="28">
        <f t="shared" si="17"/>
        <v>0</v>
      </c>
      <c r="K286" s="29">
        <f t="shared" si="18"/>
        <v>0</v>
      </c>
      <c r="L286" s="28">
        <f t="shared" si="19"/>
        <v>0</v>
      </c>
    </row>
    <row r="287" spans="8:12" x14ac:dyDescent="0.25">
      <c r="H287" s="27">
        <f t="shared" si="16"/>
        <v>0</v>
      </c>
      <c r="J287" s="28">
        <f t="shared" si="17"/>
        <v>0</v>
      </c>
      <c r="K287" s="29">
        <f t="shared" si="18"/>
        <v>0</v>
      </c>
      <c r="L287" s="28">
        <f t="shared" si="19"/>
        <v>0</v>
      </c>
    </row>
    <row r="288" spans="8:12" x14ac:dyDescent="0.25">
      <c r="H288" s="27">
        <f t="shared" si="16"/>
        <v>0</v>
      </c>
      <c r="J288" s="28">
        <f t="shared" si="17"/>
        <v>0</v>
      </c>
      <c r="K288" s="29">
        <f t="shared" si="18"/>
        <v>0</v>
      </c>
      <c r="L288" s="28">
        <f t="shared" si="19"/>
        <v>0</v>
      </c>
    </row>
    <row r="289" spans="8:12" x14ac:dyDescent="0.25">
      <c r="H289" s="27">
        <f t="shared" si="16"/>
        <v>0</v>
      </c>
      <c r="J289" s="28">
        <f t="shared" si="17"/>
        <v>0</v>
      </c>
      <c r="K289" s="29">
        <f t="shared" si="18"/>
        <v>0</v>
      </c>
      <c r="L289" s="28">
        <f t="shared" si="19"/>
        <v>0</v>
      </c>
    </row>
    <row r="290" spans="8:12" x14ac:dyDescent="0.25">
      <c r="H290" s="27">
        <f t="shared" si="16"/>
        <v>0</v>
      </c>
      <c r="J290" s="28">
        <f t="shared" si="17"/>
        <v>0</v>
      </c>
      <c r="K290" s="29">
        <f t="shared" si="18"/>
        <v>0</v>
      </c>
      <c r="L290" s="28">
        <f t="shared" si="19"/>
        <v>0</v>
      </c>
    </row>
    <row r="291" spans="8:12" x14ac:dyDescent="0.25">
      <c r="H291" s="27">
        <f t="shared" si="16"/>
        <v>0</v>
      </c>
      <c r="J291" s="28">
        <f t="shared" si="17"/>
        <v>0</v>
      </c>
      <c r="K291" s="29">
        <f t="shared" si="18"/>
        <v>0</v>
      </c>
      <c r="L291" s="28">
        <f t="shared" si="19"/>
        <v>0</v>
      </c>
    </row>
    <row r="292" spans="8:12" x14ac:dyDescent="0.25">
      <c r="H292" s="27">
        <f t="shared" si="16"/>
        <v>0</v>
      </c>
      <c r="J292" s="28">
        <f t="shared" si="17"/>
        <v>0</v>
      </c>
      <c r="K292" s="29">
        <f t="shared" si="18"/>
        <v>0</v>
      </c>
      <c r="L292" s="28">
        <f t="shared" si="19"/>
        <v>0</v>
      </c>
    </row>
    <row r="293" spans="8:12" x14ac:dyDescent="0.25">
      <c r="H293" s="27">
        <f t="shared" si="16"/>
        <v>0</v>
      </c>
      <c r="J293" s="28">
        <f t="shared" si="17"/>
        <v>0</v>
      </c>
      <c r="K293" s="29">
        <f t="shared" si="18"/>
        <v>0</v>
      </c>
      <c r="L293" s="28">
        <f t="shared" si="19"/>
        <v>0</v>
      </c>
    </row>
    <row r="294" spans="8:12" x14ac:dyDescent="0.25">
      <c r="H294" s="27">
        <f t="shared" si="16"/>
        <v>0</v>
      </c>
      <c r="J294" s="28">
        <f t="shared" si="17"/>
        <v>0</v>
      </c>
      <c r="K294" s="29">
        <f t="shared" si="18"/>
        <v>0</v>
      </c>
      <c r="L294" s="28">
        <f t="shared" si="19"/>
        <v>0</v>
      </c>
    </row>
    <row r="295" spans="8:12" x14ac:dyDescent="0.25">
      <c r="H295" s="27">
        <f t="shared" si="16"/>
        <v>0</v>
      </c>
      <c r="J295" s="28">
        <f t="shared" si="17"/>
        <v>0</v>
      </c>
      <c r="K295" s="29">
        <f t="shared" si="18"/>
        <v>0</v>
      </c>
      <c r="L295" s="28">
        <f t="shared" si="19"/>
        <v>0</v>
      </c>
    </row>
    <row r="296" spans="8:12" x14ac:dyDescent="0.25">
      <c r="H296" s="27">
        <f t="shared" si="16"/>
        <v>0</v>
      </c>
      <c r="J296" s="28">
        <f t="shared" si="17"/>
        <v>0</v>
      </c>
      <c r="K296" s="29">
        <f t="shared" si="18"/>
        <v>0</v>
      </c>
      <c r="L296" s="28">
        <f t="shared" si="19"/>
        <v>0</v>
      </c>
    </row>
    <row r="297" spans="8:12" x14ac:dyDescent="0.25">
      <c r="H297" s="27">
        <f t="shared" si="16"/>
        <v>0</v>
      </c>
      <c r="J297" s="28">
        <f t="shared" si="17"/>
        <v>0</v>
      </c>
      <c r="K297" s="29">
        <f t="shared" si="18"/>
        <v>0</v>
      </c>
      <c r="L297" s="28">
        <f t="shared" si="19"/>
        <v>0</v>
      </c>
    </row>
    <row r="298" spans="8:12" x14ac:dyDescent="0.25">
      <c r="H298" s="27">
        <f t="shared" si="16"/>
        <v>0</v>
      </c>
      <c r="J298" s="28">
        <f t="shared" si="17"/>
        <v>0</v>
      </c>
      <c r="K298" s="29">
        <f t="shared" si="18"/>
        <v>0</v>
      </c>
      <c r="L298" s="28">
        <f t="shared" si="19"/>
        <v>0</v>
      </c>
    </row>
    <row r="299" spans="8:12" x14ac:dyDescent="0.25">
      <c r="H299" s="27">
        <f t="shared" si="16"/>
        <v>0</v>
      </c>
      <c r="J299" s="28">
        <f t="shared" si="17"/>
        <v>0</v>
      </c>
      <c r="K299" s="29">
        <f t="shared" si="18"/>
        <v>0</v>
      </c>
      <c r="L299" s="28">
        <f t="shared" si="19"/>
        <v>0</v>
      </c>
    </row>
    <row r="300" spans="8:12" x14ac:dyDescent="0.25">
      <c r="H300" s="27">
        <f t="shared" si="16"/>
        <v>0</v>
      </c>
      <c r="J300" s="28">
        <f t="shared" si="17"/>
        <v>0</v>
      </c>
      <c r="K300" s="29">
        <f t="shared" si="18"/>
        <v>0</v>
      </c>
      <c r="L300" s="28">
        <f t="shared" si="19"/>
        <v>0</v>
      </c>
    </row>
    <row r="301" spans="8:12" x14ac:dyDescent="0.25">
      <c r="H301" s="27">
        <f t="shared" si="16"/>
        <v>0</v>
      </c>
      <c r="J301" s="28">
        <f t="shared" si="17"/>
        <v>0</v>
      </c>
      <c r="K301" s="29">
        <f t="shared" si="18"/>
        <v>0</v>
      </c>
      <c r="L301" s="28">
        <f t="shared" si="19"/>
        <v>0</v>
      </c>
    </row>
    <row r="302" spans="8:12" x14ac:dyDescent="0.25">
      <c r="H302" s="27">
        <f t="shared" si="16"/>
        <v>0</v>
      </c>
      <c r="J302" s="28">
        <f t="shared" si="17"/>
        <v>0</v>
      </c>
      <c r="K302" s="29">
        <f t="shared" si="18"/>
        <v>0</v>
      </c>
      <c r="L302" s="28">
        <f t="shared" si="19"/>
        <v>0</v>
      </c>
    </row>
    <row r="303" spans="8:12" x14ac:dyDescent="0.25">
      <c r="H303" s="27">
        <f t="shared" si="16"/>
        <v>0</v>
      </c>
      <c r="J303" s="28">
        <f t="shared" si="17"/>
        <v>0</v>
      </c>
      <c r="K303" s="29">
        <f t="shared" si="18"/>
        <v>0</v>
      </c>
      <c r="L303" s="28">
        <f t="shared" si="19"/>
        <v>0</v>
      </c>
    </row>
    <row r="304" spans="8:12" x14ac:dyDescent="0.25">
      <c r="H304" s="27">
        <f t="shared" si="16"/>
        <v>0</v>
      </c>
      <c r="J304" s="28">
        <f t="shared" si="17"/>
        <v>0</v>
      </c>
      <c r="K304" s="29">
        <f t="shared" si="18"/>
        <v>0</v>
      </c>
      <c r="L304" s="28">
        <f t="shared" si="19"/>
        <v>0</v>
      </c>
    </row>
    <row r="305" spans="8:12" x14ac:dyDescent="0.25">
      <c r="H305" s="27">
        <f t="shared" si="16"/>
        <v>0</v>
      </c>
      <c r="J305" s="28">
        <f t="shared" si="17"/>
        <v>0</v>
      </c>
      <c r="K305" s="29">
        <f t="shared" si="18"/>
        <v>0</v>
      </c>
      <c r="L305" s="28">
        <f t="shared" si="19"/>
        <v>0</v>
      </c>
    </row>
    <row r="306" spans="8:12" x14ac:dyDescent="0.25">
      <c r="H306" s="27">
        <f t="shared" si="16"/>
        <v>0</v>
      </c>
      <c r="J306" s="28">
        <f t="shared" si="17"/>
        <v>0</v>
      </c>
      <c r="K306" s="29">
        <f t="shared" si="18"/>
        <v>0</v>
      </c>
      <c r="L306" s="28">
        <f t="shared" si="19"/>
        <v>0</v>
      </c>
    </row>
    <row r="307" spans="8:12" x14ac:dyDescent="0.25">
      <c r="H307" s="27">
        <f t="shared" si="16"/>
        <v>0</v>
      </c>
      <c r="J307" s="28">
        <f t="shared" si="17"/>
        <v>0</v>
      </c>
      <c r="K307" s="29">
        <f t="shared" si="18"/>
        <v>0</v>
      </c>
      <c r="L307" s="28">
        <f t="shared" si="19"/>
        <v>0</v>
      </c>
    </row>
    <row r="308" spans="8:12" x14ac:dyDescent="0.25">
      <c r="H308" s="27">
        <f t="shared" si="16"/>
        <v>0</v>
      </c>
      <c r="J308" s="28">
        <f t="shared" si="17"/>
        <v>0</v>
      </c>
      <c r="K308" s="29">
        <f t="shared" si="18"/>
        <v>0</v>
      </c>
      <c r="L308" s="28">
        <f t="shared" si="19"/>
        <v>0</v>
      </c>
    </row>
    <row r="309" spans="8:12" x14ac:dyDescent="0.25">
      <c r="H309" s="27">
        <f t="shared" si="16"/>
        <v>0</v>
      </c>
      <c r="J309" s="28">
        <f t="shared" si="17"/>
        <v>0</v>
      </c>
      <c r="K309" s="29">
        <f t="shared" si="18"/>
        <v>0</v>
      </c>
      <c r="L309" s="28">
        <f t="shared" si="19"/>
        <v>0</v>
      </c>
    </row>
    <row r="310" spans="8:12" x14ac:dyDescent="0.25">
      <c r="H310" s="27">
        <f t="shared" si="16"/>
        <v>0</v>
      </c>
      <c r="J310" s="28">
        <f t="shared" si="17"/>
        <v>0</v>
      </c>
      <c r="K310" s="29">
        <f t="shared" si="18"/>
        <v>0</v>
      </c>
      <c r="L310" s="28">
        <f t="shared" si="19"/>
        <v>0</v>
      </c>
    </row>
    <row r="311" spans="8:12" x14ac:dyDescent="0.25">
      <c r="H311" s="27">
        <f t="shared" si="16"/>
        <v>0</v>
      </c>
      <c r="J311" s="28">
        <f t="shared" si="17"/>
        <v>0</v>
      </c>
      <c r="K311" s="29">
        <f t="shared" si="18"/>
        <v>0</v>
      </c>
      <c r="L311" s="28">
        <f t="shared" si="19"/>
        <v>0</v>
      </c>
    </row>
    <row r="312" spans="8:12" x14ac:dyDescent="0.25">
      <c r="H312" s="27">
        <f t="shared" si="16"/>
        <v>0</v>
      </c>
      <c r="J312" s="28">
        <f t="shared" si="17"/>
        <v>0</v>
      </c>
      <c r="K312" s="29">
        <f t="shared" si="18"/>
        <v>0</v>
      </c>
      <c r="L312" s="28">
        <f t="shared" si="19"/>
        <v>0</v>
      </c>
    </row>
    <row r="313" spans="8:12" x14ac:dyDescent="0.25">
      <c r="H313" s="27">
        <f t="shared" si="16"/>
        <v>0</v>
      </c>
      <c r="J313" s="28">
        <f t="shared" si="17"/>
        <v>0</v>
      </c>
      <c r="K313" s="29">
        <f t="shared" si="18"/>
        <v>0</v>
      </c>
      <c r="L313" s="28">
        <f t="shared" si="19"/>
        <v>0</v>
      </c>
    </row>
    <row r="314" spans="8:12" x14ac:dyDescent="0.25">
      <c r="H314" s="27">
        <f t="shared" si="16"/>
        <v>0</v>
      </c>
      <c r="J314" s="28">
        <f t="shared" si="17"/>
        <v>0</v>
      </c>
      <c r="K314" s="29">
        <f t="shared" si="18"/>
        <v>0</v>
      </c>
      <c r="L314" s="28">
        <f t="shared" si="19"/>
        <v>0</v>
      </c>
    </row>
    <row r="315" spans="8:12" x14ac:dyDescent="0.25">
      <c r="H315" s="27">
        <f t="shared" si="16"/>
        <v>0</v>
      </c>
      <c r="J315" s="28">
        <f t="shared" si="17"/>
        <v>0</v>
      </c>
      <c r="K315" s="29">
        <f t="shared" si="18"/>
        <v>0</v>
      </c>
      <c r="L315" s="28">
        <f t="shared" si="19"/>
        <v>0</v>
      </c>
    </row>
    <row r="316" spans="8:12" x14ac:dyDescent="0.25">
      <c r="H316" s="27">
        <f t="shared" si="16"/>
        <v>0</v>
      </c>
      <c r="J316" s="28">
        <f t="shared" si="17"/>
        <v>0</v>
      </c>
      <c r="K316" s="29">
        <f t="shared" si="18"/>
        <v>0</v>
      </c>
      <c r="L316" s="28">
        <f t="shared" si="19"/>
        <v>0</v>
      </c>
    </row>
    <row r="317" spans="8:12" x14ac:dyDescent="0.25">
      <c r="H317" s="27">
        <f t="shared" si="16"/>
        <v>0</v>
      </c>
      <c r="J317" s="28">
        <f t="shared" si="17"/>
        <v>0</v>
      </c>
      <c r="K317" s="29">
        <f t="shared" si="18"/>
        <v>0</v>
      </c>
      <c r="L317" s="28">
        <f t="shared" si="19"/>
        <v>0</v>
      </c>
    </row>
    <row r="318" spans="8:12" x14ac:dyDescent="0.25">
      <c r="H318" s="27">
        <f t="shared" si="16"/>
        <v>0</v>
      </c>
      <c r="J318" s="28">
        <f t="shared" si="17"/>
        <v>0</v>
      </c>
      <c r="K318" s="29">
        <f t="shared" si="18"/>
        <v>0</v>
      </c>
      <c r="L318" s="28">
        <f t="shared" si="19"/>
        <v>0</v>
      </c>
    </row>
    <row r="319" spans="8:12" x14ac:dyDescent="0.25">
      <c r="H319" s="27">
        <f t="shared" si="16"/>
        <v>0</v>
      </c>
      <c r="J319" s="28">
        <f t="shared" si="17"/>
        <v>0</v>
      </c>
      <c r="K319" s="29">
        <f t="shared" si="18"/>
        <v>0</v>
      </c>
      <c r="L319" s="28">
        <f t="shared" si="19"/>
        <v>0</v>
      </c>
    </row>
    <row r="320" spans="8:12" x14ac:dyDescent="0.25">
      <c r="H320" s="27">
        <f t="shared" si="16"/>
        <v>0</v>
      </c>
      <c r="J320" s="28">
        <f t="shared" si="17"/>
        <v>0</v>
      </c>
      <c r="K320" s="29">
        <f t="shared" si="18"/>
        <v>0</v>
      </c>
      <c r="L320" s="28">
        <f t="shared" si="19"/>
        <v>0</v>
      </c>
    </row>
    <row r="321" spans="8:12" x14ac:dyDescent="0.25">
      <c r="H321" s="27">
        <f t="shared" si="16"/>
        <v>0</v>
      </c>
      <c r="J321" s="28">
        <f t="shared" si="17"/>
        <v>0</v>
      </c>
      <c r="K321" s="29">
        <f t="shared" si="18"/>
        <v>0</v>
      </c>
      <c r="L321" s="28">
        <f t="shared" si="19"/>
        <v>0</v>
      </c>
    </row>
    <row r="322" spans="8:12" x14ac:dyDescent="0.25">
      <c r="H322" s="27">
        <f t="shared" ref="H322:H385" si="20">E322*F322</f>
        <v>0</v>
      </c>
      <c r="J322" s="28">
        <f t="shared" ref="J322:J385" si="21">I322*H322</f>
        <v>0</v>
      </c>
      <c r="K322" s="29">
        <f t="shared" ref="K322:K385" si="22">IF(M322="товар",$Q$4, IF(M322="м/к",$Q$2,IF(M322="комп",$Q$3,IF(M322="услуга",$Q$5,0))))</f>
        <v>0</v>
      </c>
      <c r="L322" s="28">
        <f t="shared" ref="L322:L385" si="23">(1+K322)*J322</f>
        <v>0</v>
      </c>
    </row>
    <row r="323" spans="8:12" x14ac:dyDescent="0.25">
      <c r="H323" s="27">
        <f t="shared" si="20"/>
        <v>0</v>
      </c>
      <c r="J323" s="28">
        <f t="shared" si="21"/>
        <v>0</v>
      </c>
      <c r="K323" s="29">
        <f t="shared" si="22"/>
        <v>0</v>
      </c>
      <c r="L323" s="28">
        <f t="shared" si="23"/>
        <v>0</v>
      </c>
    </row>
    <row r="324" spans="8:12" x14ac:dyDescent="0.25">
      <c r="H324" s="27">
        <f t="shared" si="20"/>
        <v>0</v>
      </c>
      <c r="J324" s="28">
        <f t="shared" si="21"/>
        <v>0</v>
      </c>
      <c r="K324" s="29">
        <f t="shared" si="22"/>
        <v>0</v>
      </c>
      <c r="L324" s="28">
        <f t="shared" si="23"/>
        <v>0</v>
      </c>
    </row>
    <row r="325" spans="8:12" x14ac:dyDescent="0.25">
      <c r="H325" s="27">
        <f t="shared" si="20"/>
        <v>0</v>
      </c>
      <c r="J325" s="28">
        <f t="shared" si="21"/>
        <v>0</v>
      </c>
      <c r="K325" s="29">
        <f t="shared" si="22"/>
        <v>0</v>
      </c>
      <c r="L325" s="28">
        <f t="shared" si="23"/>
        <v>0</v>
      </c>
    </row>
    <row r="326" spans="8:12" x14ac:dyDescent="0.25">
      <c r="H326" s="27">
        <f t="shared" si="20"/>
        <v>0</v>
      </c>
      <c r="J326" s="28">
        <f t="shared" si="21"/>
        <v>0</v>
      </c>
      <c r="K326" s="29">
        <f t="shared" si="22"/>
        <v>0</v>
      </c>
      <c r="L326" s="28">
        <f t="shared" si="23"/>
        <v>0</v>
      </c>
    </row>
    <row r="327" spans="8:12" x14ac:dyDescent="0.25">
      <c r="H327" s="27">
        <f t="shared" si="20"/>
        <v>0</v>
      </c>
      <c r="J327" s="28">
        <f t="shared" si="21"/>
        <v>0</v>
      </c>
      <c r="K327" s="29">
        <f t="shared" si="22"/>
        <v>0</v>
      </c>
      <c r="L327" s="28">
        <f t="shared" si="23"/>
        <v>0</v>
      </c>
    </row>
    <row r="328" spans="8:12" x14ac:dyDescent="0.25">
      <c r="H328" s="27">
        <f t="shared" si="20"/>
        <v>0</v>
      </c>
      <c r="J328" s="28">
        <f t="shared" si="21"/>
        <v>0</v>
      </c>
      <c r="K328" s="29">
        <f t="shared" si="22"/>
        <v>0</v>
      </c>
      <c r="L328" s="28">
        <f t="shared" si="23"/>
        <v>0</v>
      </c>
    </row>
    <row r="329" spans="8:12" x14ac:dyDescent="0.25">
      <c r="H329" s="27">
        <f t="shared" si="20"/>
        <v>0</v>
      </c>
      <c r="J329" s="28">
        <f t="shared" si="21"/>
        <v>0</v>
      </c>
      <c r="K329" s="29">
        <f t="shared" si="22"/>
        <v>0</v>
      </c>
      <c r="L329" s="28">
        <f t="shared" si="23"/>
        <v>0</v>
      </c>
    </row>
    <row r="330" spans="8:12" x14ac:dyDescent="0.25">
      <c r="H330" s="27">
        <f t="shared" si="20"/>
        <v>0</v>
      </c>
      <c r="J330" s="28">
        <f t="shared" si="21"/>
        <v>0</v>
      </c>
      <c r="K330" s="29">
        <f t="shared" si="22"/>
        <v>0</v>
      </c>
      <c r="L330" s="28">
        <f t="shared" si="23"/>
        <v>0</v>
      </c>
    </row>
    <row r="331" spans="8:12" x14ac:dyDescent="0.25">
      <c r="H331" s="27">
        <f t="shared" si="20"/>
        <v>0</v>
      </c>
      <c r="J331" s="28">
        <f t="shared" si="21"/>
        <v>0</v>
      </c>
      <c r="K331" s="29">
        <f t="shared" si="22"/>
        <v>0</v>
      </c>
      <c r="L331" s="28">
        <f t="shared" si="23"/>
        <v>0</v>
      </c>
    </row>
    <row r="332" spans="8:12" x14ac:dyDescent="0.25">
      <c r="H332" s="27">
        <f t="shared" si="20"/>
        <v>0</v>
      </c>
      <c r="J332" s="28">
        <f t="shared" si="21"/>
        <v>0</v>
      </c>
      <c r="K332" s="29">
        <f t="shared" si="22"/>
        <v>0</v>
      </c>
      <c r="L332" s="28">
        <f t="shared" si="23"/>
        <v>0</v>
      </c>
    </row>
    <row r="333" spans="8:12" x14ac:dyDescent="0.25">
      <c r="H333" s="27">
        <f t="shared" si="20"/>
        <v>0</v>
      </c>
      <c r="J333" s="28">
        <f t="shared" si="21"/>
        <v>0</v>
      </c>
      <c r="K333" s="29">
        <f t="shared" si="22"/>
        <v>0</v>
      </c>
      <c r="L333" s="28">
        <f t="shared" si="23"/>
        <v>0</v>
      </c>
    </row>
    <row r="334" spans="8:12" x14ac:dyDescent="0.25">
      <c r="H334" s="27">
        <f t="shared" si="20"/>
        <v>0</v>
      </c>
      <c r="J334" s="28">
        <f t="shared" si="21"/>
        <v>0</v>
      </c>
      <c r="K334" s="29">
        <f t="shared" si="22"/>
        <v>0</v>
      </c>
      <c r="L334" s="28">
        <f t="shared" si="23"/>
        <v>0</v>
      </c>
    </row>
    <row r="335" spans="8:12" x14ac:dyDescent="0.25">
      <c r="H335" s="27">
        <f t="shared" si="20"/>
        <v>0</v>
      </c>
      <c r="J335" s="28">
        <f t="shared" si="21"/>
        <v>0</v>
      </c>
      <c r="K335" s="29">
        <f t="shared" si="22"/>
        <v>0</v>
      </c>
      <c r="L335" s="28">
        <f t="shared" si="23"/>
        <v>0</v>
      </c>
    </row>
    <row r="336" spans="8:12" x14ac:dyDescent="0.25">
      <c r="H336" s="27">
        <f t="shared" si="20"/>
        <v>0</v>
      </c>
      <c r="J336" s="28">
        <f t="shared" si="21"/>
        <v>0</v>
      </c>
      <c r="K336" s="29">
        <f t="shared" si="22"/>
        <v>0</v>
      </c>
      <c r="L336" s="28">
        <f t="shared" si="23"/>
        <v>0</v>
      </c>
    </row>
    <row r="337" spans="8:12" x14ac:dyDescent="0.25">
      <c r="H337" s="27">
        <f t="shared" si="20"/>
        <v>0</v>
      </c>
      <c r="J337" s="28">
        <f t="shared" si="21"/>
        <v>0</v>
      </c>
      <c r="K337" s="29">
        <f t="shared" si="22"/>
        <v>0</v>
      </c>
      <c r="L337" s="28">
        <f t="shared" si="23"/>
        <v>0</v>
      </c>
    </row>
    <row r="338" spans="8:12" x14ac:dyDescent="0.25">
      <c r="H338" s="27">
        <f t="shared" si="20"/>
        <v>0</v>
      </c>
      <c r="J338" s="28">
        <f t="shared" si="21"/>
        <v>0</v>
      </c>
      <c r="K338" s="29">
        <f t="shared" si="22"/>
        <v>0</v>
      </c>
      <c r="L338" s="28">
        <f t="shared" si="23"/>
        <v>0</v>
      </c>
    </row>
    <row r="339" spans="8:12" x14ac:dyDescent="0.25">
      <c r="H339" s="27">
        <f t="shared" si="20"/>
        <v>0</v>
      </c>
      <c r="J339" s="28">
        <f t="shared" si="21"/>
        <v>0</v>
      </c>
      <c r="K339" s="29">
        <f t="shared" si="22"/>
        <v>0</v>
      </c>
      <c r="L339" s="28">
        <f t="shared" si="23"/>
        <v>0</v>
      </c>
    </row>
    <row r="340" spans="8:12" x14ac:dyDescent="0.25">
      <c r="H340" s="27">
        <f t="shared" si="20"/>
        <v>0</v>
      </c>
      <c r="J340" s="28">
        <f t="shared" si="21"/>
        <v>0</v>
      </c>
      <c r="K340" s="29">
        <f t="shared" si="22"/>
        <v>0</v>
      </c>
      <c r="L340" s="28">
        <f t="shared" si="23"/>
        <v>0</v>
      </c>
    </row>
    <row r="341" spans="8:12" x14ac:dyDescent="0.25">
      <c r="H341" s="27">
        <f t="shared" si="20"/>
        <v>0</v>
      </c>
      <c r="J341" s="28">
        <f t="shared" si="21"/>
        <v>0</v>
      </c>
      <c r="K341" s="29">
        <f t="shared" si="22"/>
        <v>0</v>
      </c>
      <c r="L341" s="28">
        <f t="shared" si="23"/>
        <v>0</v>
      </c>
    </row>
    <row r="342" spans="8:12" x14ac:dyDescent="0.25">
      <c r="H342" s="27">
        <f t="shared" si="20"/>
        <v>0</v>
      </c>
      <c r="J342" s="28">
        <f t="shared" si="21"/>
        <v>0</v>
      </c>
      <c r="K342" s="29">
        <f t="shared" si="22"/>
        <v>0</v>
      </c>
      <c r="L342" s="28">
        <f t="shared" si="23"/>
        <v>0</v>
      </c>
    </row>
    <row r="343" spans="8:12" x14ac:dyDescent="0.25">
      <c r="H343" s="27">
        <f t="shared" si="20"/>
        <v>0</v>
      </c>
      <c r="J343" s="28">
        <f t="shared" si="21"/>
        <v>0</v>
      </c>
      <c r="K343" s="29">
        <f t="shared" si="22"/>
        <v>0</v>
      </c>
      <c r="L343" s="28">
        <f t="shared" si="23"/>
        <v>0</v>
      </c>
    </row>
    <row r="344" spans="8:12" x14ac:dyDescent="0.25">
      <c r="H344" s="27">
        <f t="shared" si="20"/>
        <v>0</v>
      </c>
      <c r="J344" s="28">
        <f t="shared" si="21"/>
        <v>0</v>
      </c>
      <c r="K344" s="29">
        <f t="shared" si="22"/>
        <v>0</v>
      </c>
      <c r="L344" s="28">
        <f t="shared" si="23"/>
        <v>0</v>
      </c>
    </row>
    <row r="345" spans="8:12" x14ac:dyDescent="0.25">
      <c r="H345" s="27">
        <f t="shared" si="20"/>
        <v>0</v>
      </c>
      <c r="J345" s="28">
        <f t="shared" si="21"/>
        <v>0</v>
      </c>
      <c r="K345" s="29">
        <f t="shared" si="22"/>
        <v>0</v>
      </c>
      <c r="L345" s="28">
        <f t="shared" si="23"/>
        <v>0</v>
      </c>
    </row>
    <row r="346" spans="8:12" x14ac:dyDescent="0.25">
      <c r="H346" s="27">
        <f t="shared" si="20"/>
        <v>0</v>
      </c>
      <c r="J346" s="28">
        <f t="shared" si="21"/>
        <v>0</v>
      </c>
      <c r="K346" s="29">
        <f t="shared" si="22"/>
        <v>0</v>
      </c>
      <c r="L346" s="28">
        <f t="shared" si="23"/>
        <v>0</v>
      </c>
    </row>
    <row r="347" spans="8:12" x14ac:dyDescent="0.25">
      <c r="H347" s="27">
        <f t="shared" si="20"/>
        <v>0</v>
      </c>
      <c r="J347" s="28">
        <f t="shared" si="21"/>
        <v>0</v>
      </c>
      <c r="K347" s="29">
        <f t="shared" si="22"/>
        <v>0</v>
      </c>
      <c r="L347" s="28">
        <f t="shared" si="23"/>
        <v>0</v>
      </c>
    </row>
    <row r="348" spans="8:12" x14ac:dyDescent="0.25">
      <c r="H348" s="27">
        <f t="shared" si="20"/>
        <v>0</v>
      </c>
      <c r="J348" s="28">
        <f t="shared" si="21"/>
        <v>0</v>
      </c>
      <c r="K348" s="29">
        <f t="shared" si="22"/>
        <v>0</v>
      </c>
      <c r="L348" s="28">
        <f t="shared" si="23"/>
        <v>0</v>
      </c>
    </row>
    <row r="349" spans="8:12" x14ac:dyDescent="0.25">
      <c r="H349" s="27">
        <f t="shared" si="20"/>
        <v>0</v>
      </c>
      <c r="J349" s="28">
        <f t="shared" si="21"/>
        <v>0</v>
      </c>
      <c r="K349" s="29">
        <f t="shared" si="22"/>
        <v>0</v>
      </c>
      <c r="L349" s="28">
        <f t="shared" si="23"/>
        <v>0</v>
      </c>
    </row>
    <row r="350" spans="8:12" x14ac:dyDescent="0.25">
      <c r="H350" s="27">
        <f t="shared" si="20"/>
        <v>0</v>
      </c>
      <c r="J350" s="28">
        <f t="shared" si="21"/>
        <v>0</v>
      </c>
      <c r="K350" s="29">
        <f t="shared" si="22"/>
        <v>0</v>
      </c>
      <c r="L350" s="28">
        <f t="shared" si="23"/>
        <v>0</v>
      </c>
    </row>
    <row r="351" spans="8:12" x14ac:dyDescent="0.25">
      <c r="H351" s="27">
        <f t="shared" si="20"/>
        <v>0</v>
      </c>
      <c r="J351" s="28">
        <f t="shared" si="21"/>
        <v>0</v>
      </c>
      <c r="K351" s="29">
        <f t="shared" si="22"/>
        <v>0</v>
      </c>
      <c r="L351" s="28">
        <f t="shared" si="23"/>
        <v>0</v>
      </c>
    </row>
    <row r="352" spans="8:12" x14ac:dyDescent="0.25">
      <c r="H352" s="27">
        <f t="shared" si="20"/>
        <v>0</v>
      </c>
      <c r="J352" s="28">
        <f t="shared" si="21"/>
        <v>0</v>
      </c>
      <c r="K352" s="29">
        <f t="shared" si="22"/>
        <v>0</v>
      </c>
      <c r="L352" s="28">
        <f t="shared" si="23"/>
        <v>0</v>
      </c>
    </row>
    <row r="353" spans="8:12" x14ac:dyDescent="0.25">
      <c r="H353" s="27">
        <f t="shared" si="20"/>
        <v>0</v>
      </c>
      <c r="J353" s="28">
        <f t="shared" si="21"/>
        <v>0</v>
      </c>
      <c r="K353" s="29">
        <f t="shared" si="22"/>
        <v>0</v>
      </c>
      <c r="L353" s="28">
        <f t="shared" si="23"/>
        <v>0</v>
      </c>
    </row>
    <row r="354" spans="8:12" x14ac:dyDescent="0.25">
      <c r="H354" s="27">
        <f t="shared" si="20"/>
        <v>0</v>
      </c>
      <c r="J354" s="28">
        <f t="shared" si="21"/>
        <v>0</v>
      </c>
      <c r="K354" s="29">
        <f t="shared" si="22"/>
        <v>0</v>
      </c>
      <c r="L354" s="28">
        <f t="shared" si="23"/>
        <v>0</v>
      </c>
    </row>
    <row r="355" spans="8:12" x14ac:dyDescent="0.25">
      <c r="H355" s="27">
        <f t="shared" si="20"/>
        <v>0</v>
      </c>
      <c r="J355" s="28">
        <f t="shared" si="21"/>
        <v>0</v>
      </c>
      <c r="K355" s="29">
        <f t="shared" si="22"/>
        <v>0</v>
      </c>
      <c r="L355" s="28">
        <f t="shared" si="23"/>
        <v>0</v>
      </c>
    </row>
    <row r="356" spans="8:12" x14ac:dyDescent="0.25">
      <c r="H356" s="27">
        <f t="shared" si="20"/>
        <v>0</v>
      </c>
      <c r="J356" s="28">
        <f t="shared" si="21"/>
        <v>0</v>
      </c>
      <c r="K356" s="29">
        <f t="shared" si="22"/>
        <v>0</v>
      </c>
      <c r="L356" s="28">
        <f t="shared" si="23"/>
        <v>0</v>
      </c>
    </row>
    <row r="357" spans="8:12" x14ac:dyDescent="0.25">
      <c r="H357" s="27">
        <f t="shared" si="20"/>
        <v>0</v>
      </c>
      <c r="J357" s="28">
        <f t="shared" si="21"/>
        <v>0</v>
      </c>
      <c r="K357" s="29">
        <f t="shared" si="22"/>
        <v>0</v>
      </c>
      <c r="L357" s="28">
        <f t="shared" si="23"/>
        <v>0</v>
      </c>
    </row>
    <row r="358" spans="8:12" x14ac:dyDescent="0.25">
      <c r="H358" s="27">
        <f t="shared" si="20"/>
        <v>0</v>
      </c>
      <c r="J358" s="28">
        <f t="shared" si="21"/>
        <v>0</v>
      </c>
      <c r="K358" s="29">
        <f t="shared" si="22"/>
        <v>0</v>
      </c>
      <c r="L358" s="28">
        <f t="shared" si="23"/>
        <v>0</v>
      </c>
    </row>
    <row r="359" spans="8:12" x14ac:dyDescent="0.25">
      <c r="H359" s="27">
        <f t="shared" si="20"/>
        <v>0</v>
      </c>
      <c r="J359" s="28">
        <f t="shared" si="21"/>
        <v>0</v>
      </c>
      <c r="K359" s="29">
        <f t="shared" si="22"/>
        <v>0</v>
      </c>
      <c r="L359" s="28">
        <f t="shared" si="23"/>
        <v>0</v>
      </c>
    </row>
    <row r="360" spans="8:12" x14ac:dyDescent="0.25">
      <c r="H360" s="27">
        <f t="shared" si="20"/>
        <v>0</v>
      </c>
      <c r="J360" s="28">
        <f t="shared" si="21"/>
        <v>0</v>
      </c>
      <c r="K360" s="29">
        <f t="shared" si="22"/>
        <v>0</v>
      </c>
      <c r="L360" s="28">
        <f t="shared" si="23"/>
        <v>0</v>
      </c>
    </row>
    <row r="361" spans="8:12" x14ac:dyDescent="0.25">
      <c r="H361" s="27">
        <f t="shared" si="20"/>
        <v>0</v>
      </c>
      <c r="J361" s="28">
        <f t="shared" si="21"/>
        <v>0</v>
      </c>
      <c r="K361" s="29">
        <f t="shared" si="22"/>
        <v>0</v>
      </c>
      <c r="L361" s="28">
        <f t="shared" si="23"/>
        <v>0</v>
      </c>
    </row>
    <row r="362" spans="8:12" x14ac:dyDescent="0.25">
      <c r="H362" s="27">
        <f t="shared" si="20"/>
        <v>0</v>
      </c>
      <c r="J362" s="28">
        <f t="shared" si="21"/>
        <v>0</v>
      </c>
      <c r="K362" s="29">
        <f t="shared" si="22"/>
        <v>0</v>
      </c>
      <c r="L362" s="28">
        <f t="shared" si="23"/>
        <v>0</v>
      </c>
    </row>
    <row r="363" spans="8:12" x14ac:dyDescent="0.25">
      <c r="H363" s="27">
        <f t="shared" si="20"/>
        <v>0</v>
      </c>
      <c r="J363" s="28">
        <f t="shared" si="21"/>
        <v>0</v>
      </c>
      <c r="K363" s="29">
        <f t="shared" si="22"/>
        <v>0</v>
      </c>
      <c r="L363" s="28">
        <f t="shared" si="23"/>
        <v>0</v>
      </c>
    </row>
    <row r="364" spans="8:12" x14ac:dyDescent="0.25">
      <c r="H364" s="27">
        <f t="shared" si="20"/>
        <v>0</v>
      </c>
      <c r="J364" s="28">
        <f t="shared" si="21"/>
        <v>0</v>
      </c>
      <c r="K364" s="29">
        <f t="shared" si="22"/>
        <v>0</v>
      </c>
      <c r="L364" s="28">
        <f t="shared" si="23"/>
        <v>0</v>
      </c>
    </row>
    <row r="365" spans="8:12" x14ac:dyDescent="0.25">
      <c r="H365" s="27">
        <f t="shared" si="20"/>
        <v>0</v>
      </c>
      <c r="J365" s="28">
        <f t="shared" si="21"/>
        <v>0</v>
      </c>
      <c r="K365" s="29">
        <f t="shared" si="22"/>
        <v>0</v>
      </c>
      <c r="L365" s="28">
        <f t="shared" si="23"/>
        <v>0</v>
      </c>
    </row>
    <row r="366" spans="8:12" x14ac:dyDescent="0.25">
      <c r="H366" s="27">
        <f t="shared" si="20"/>
        <v>0</v>
      </c>
      <c r="J366" s="28">
        <f t="shared" si="21"/>
        <v>0</v>
      </c>
      <c r="K366" s="29">
        <f t="shared" si="22"/>
        <v>0</v>
      </c>
      <c r="L366" s="28">
        <f t="shared" si="23"/>
        <v>0</v>
      </c>
    </row>
    <row r="367" spans="8:12" x14ac:dyDescent="0.25">
      <c r="H367" s="27">
        <f t="shared" si="20"/>
        <v>0</v>
      </c>
      <c r="J367" s="28">
        <f t="shared" si="21"/>
        <v>0</v>
      </c>
      <c r="K367" s="29">
        <f t="shared" si="22"/>
        <v>0</v>
      </c>
      <c r="L367" s="28">
        <f t="shared" si="23"/>
        <v>0</v>
      </c>
    </row>
    <row r="368" spans="8:12" x14ac:dyDescent="0.25">
      <c r="H368" s="27">
        <f t="shared" si="20"/>
        <v>0</v>
      </c>
      <c r="J368" s="28">
        <f t="shared" si="21"/>
        <v>0</v>
      </c>
      <c r="K368" s="29">
        <f t="shared" si="22"/>
        <v>0</v>
      </c>
      <c r="L368" s="28">
        <f t="shared" si="23"/>
        <v>0</v>
      </c>
    </row>
    <row r="369" spans="8:12" x14ac:dyDescent="0.25">
      <c r="H369" s="27">
        <f t="shared" si="20"/>
        <v>0</v>
      </c>
      <c r="J369" s="28">
        <f t="shared" si="21"/>
        <v>0</v>
      </c>
      <c r="K369" s="29">
        <f t="shared" si="22"/>
        <v>0</v>
      </c>
      <c r="L369" s="28">
        <f t="shared" si="23"/>
        <v>0</v>
      </c>
    </row>
    <row r="370" spans="8:12" x14ac:dyDescent="0.25">
      <c r="H370" s="27">
        <f t="shared" si="20"/>
        <v>0</v>
      </c>
      <c r="J370" s="28">
        <f t="shared" si="21"/>
        <v>0</v>
      </c>
      <c r="K370" s="29">
        <f t="shared" si="22"/>
        <v>0</v>
      </c>
      <c r="L370" s="28">
        <f t="shared" si="23"/>
        <v>0</v>
      </c>
    </row>
    <row r="371" spans="8:12" x14ac:dyDescent="0.25">
      <c r="H371" s="27">
        <f t="shared" si="20"/>
        <v>0</v>
      </c>
      <c r="J371" s="28">
        <f t="shared" si="21"/>
        <v>0</v>
      </c>
      <c r="K371" s="29">
        <f t="shared" si="22"/>
        <v>0</v>
      </c>
      <c r="L371" s="28">
        <f t="shared" si="23"/>
        <v>0</v>
      </c>
    </row>
    <row r="372" spans="8:12" x14ac:dyDescent="0.25">
      <c r="H372" s="27">
        <f t="shared" si="20"/>
        <v>0</v>
      </c>
      <c r="J372" s="28">
        <f t="shared" si="21"/>
        <v>0</v>
      </c>
      <c r="K372" s="29">
        <f t="shared" si="22"/>
        <v>0</v>
      </c>
      <c r="L372" s="28">
        <f t="shared" si="23"/>
        <v>0</v>
      </c>
    </row>
    <row r="373" spans="8:12" x14ac:dyDescent="0.25">
      <c r="H373" s="27">
        <f t="shared" si="20"/>
        <v>0</v>
      </c>
      <c r="J373" s="28">
        <f t="shared" si="21"/>
        <v>0</v>
      </c>
      <c r="K373" s="29">
        <f t="shared" si="22"/>
        <v>0</v>
      </c>
      <c r="L373" s="28">
        <f t="shared" si="23"/>
        <v>0</v>
      </c>
    </row>
    <row r="374" spans="8:12" x14ac:dyDescent="0.25">
      <c r="H374" s="27">
        <f t="shared" si="20"/>
        <v>0</v>
      </c>
      <c r="J374" s="28">
        <f t="shared" si="21"/>
        <v>0</v>
      </c>
      <c r="K374" s="29">
        <f t="shared" si="22"/>
        <v>0</v>
      </c>
      <c r="L374" s="28">
        <f t="shared" si="23"/>
        <v>0</v>
      </c>
    </row>
    <row r="375" spans="8:12" x14ac:dyDescent="0.25">
      <c r="H375" s="27">
        <f t="shared" si="20"/>
        <v>0</v>
      </c>
      <c r="J375" s="28">
        <f t="shared" si="21"/>
        <v>0</v>
      </c>
      <c r="K375" s="29">
        <f t="shared" si="22"/>
        <v>0</v>
      </c>
      <c r="L375" s="28">
        <f t="shared" si="23"/>
        <v>0</v>
      </c>
    </row>
    <row r="376" spans="8:12" x14ac:dyDescent="0.25">
      <c r="H376" s="27">
        <f t="shared" si="20"/>
        <v>0</v>
      </c>
      <c r="J376" s="28">
        <f t="shared" si="21"/>
        <v>0</v>
      </c>
      <c r="K376" s="29">
        <f t="shared" si="22"/>
        <v>0</v>
      </c>
      <c r="L376" s="28">
        <f t="shared" si="23"/>
        <v>0</v>
      </c>
    </row>
    <row r="377" spans="8:12" x14ac:dyDescent="0.25">
      <c r="H377" s="27">
        <f t="shared" si="20"/>
        <v>0</v>
      </c>
      <c r="J377" s="28">
        <f t="shared" si="21"/>
        <v>0</v>
      </c>
      <c r="K377" s="29">
        <f t="shared" si="22"/>
        <v>0</v>
      </c>
      <c r="L377" s="28">
        <f t="shared" si="23"/>
        <v>0</v>
      </c>
    </row>
    <row r="378" spans="8:12" x14ac:dyDescent="0.25">
      <c r="H378" s="27">
        <f t="shared" si="20"/>
        <v>0</v>
      </c>
      <c r="J378" s="28">
        <f t="shared" si="21"/>
        <v>0</v>
      </c>
      <c r="K378" s="29">
        <f t="shared" si="22"/>
        <v>0</v>
      </c>
      <c r="L378" s="28">
        <f t="shared" si="23"/>
        <v>0</v>
      </c>
    </row>
    <row r="379" spans="8:12" x14ac:dyDescent="0.25">
      <c r="H379" s="27">
        <f t="shared" si="20"/>
        <v>0</v>
      </c>
      <c r="J379" s="28">
        <f t="shared" si="21"/>
        <v>0</v>
      </c>
      <c r="K379" s="29">
        <f t="shared" si="22"/>
        <v>0</v>
      </c>
      <c r="L379" s="28">
        <f t="shared" si="23"/>
        <v>0</v>
      </c>
    </row>
    <row r="380" spans="8:12" x14ac:dyDescent="0.25">
      <c r="H380" s="27">
        <f t="shared" si="20"/>
        <v>0</v>
      </c>
      <c r="J380" s="28">
        <f t="shared" si="21"/>
        <v>0</v>
      </c>
      <c r="K380" s="29">
        <f t="shared" si="22"/>
        <v>0</v>
      </c>
      <c r="L380" s="28">
        <f t="shared" si="23"/>
        <v>0</v>
      </c>
    </row>
    <row r="381" spans="8:12" x14ac:dyDescent="0.25">
      <c r="H381" s="27">
        <f t="shared" si="20"/>
        <v>0</v>
      </c>
      <c r="J381" s="28">
        <f t="shared" si="21"/>
        <v>0</v>
      </c>
      <c r="K381" s="29">
        <f t="shared" si="22"/>
        <v>0</v>
      </c>
      <c r="L381" s="28">
        <f t="shared" si="23"/>
        <v>0</v>
      </c>
    </row>
    <row r="382" spans="8:12" x14ac:dyDescent="0.25">
      <c r="H382" s="27">
        <f t="shared" si="20"/>
        <v>0</v>
      </c>
      <c r="J382" s="28">
        <f t="shared" si="21"/>
        <v>0</v>
      </c>
      <c r="K382" s="29">
        <f t="shared" si="22"/>
        <v>0</v>
      </c>
      <c r="L382" s="28">
        <f t="shared" si="23"/>
        <v>0</v>
      </c>
    </row>
    <row r="383" spans="8:12" x14ac:dyDescent="0.25">
      <c r="H383" s="27">
        <f t="shared" si="20"/>
        <v>0</v>
      </c>
      <c r="J383" s="28">
        <f t="shared" si="21"/>
        <v>0</v>
      </c>
      <c r="K383" s="29">
        <f t="shared" si="22"/>
        <v>0</v>
      </c>
      <c r="L383" s="28">
        <f t="shared" si="23"/>
        <v>0</v>
      </c>
    </row>
    <row r="384" spans="8:12" x14ac:dyDescent="0.25">
      <c r="H384" s="27">
        <f t="shared" si="20"/>
        <v>0</v>
      </c>
      <c r="J384" s="28">
        <f t="shared" si="21"/>
        <v>0</v>
      </c>
      <c r="K384" s="29">
        <f t="shared" si="22"/>
        <v>0</v>
      </c>
      <c r="L384" s="28">
        <f t="shared" si="23"/>
        <v>0</v>
      </c>
    </row>
    <row r="385" spans="8:12" x14ac:dyDescent="0.25">
      <c r="H385" s="27">
        <f t="shared" si="20"/>
        <v>0</v>
      </c>
      <c r="J385" s="28">
        <f t="shared" si="21"/>
        <v>0</v>
      </c>
      <c r="K385" s="29">
        <f t="shared" si="22"/>
        <v>0</v>
      </c>
      <c r="L385" s="28">
        <f t="shared" si="23"/>
        <v>0</v>
      </c>
    </row>
    <row r="386" spans="8:12" x14ac:dyDescent="0.25">
      <c r="H386" s="27">
        <f t="shared" ref="H386:H449" si="24">E386*F386</f>
        <v>0</v>
      </c>
      <c r="J386" s="28">
        <f t="shared" ref="J386:J449" si="25">I386*H386</f>
        <v>0</v>
      </c>
      <c r="K386" s="29">
        <f t="shared" ref="K386:K449" si="26">IF(M386="товар",$Q$4, IF(M386="м/к",$Q$2,IF(M386="комп",$Q$3,IF(M386="услуга",$Q$5,0))))</f>
        <v>0</v>
      </c>
      <c r="L386" s="28">
        <f t="shared" ref="L386:L449" si="27">(1+K386)*J386</f>
        <v>0</v>
      </c>
    </row>
    <row r="387" spans="8:12" x14ac:dyDescent="0.25">
      <c r="H387" s="27">
        <f t="shared" si="24"/>
        <v>0</v>
      </c>
      <c r="J387" s="28">
        <f t="shared" si="25"/>
        <v>0</v>
      </c>
      <c r="K387" s="29">
        <f t="shared" si="26"/>
        <v>0</v>
      </c>
      <c r="L387" s="28">
        <f t="shared" si="27"/>
        <v>0</v>
      </c>
    </row>
    <row r="388" spans="8:12" x14ac:dyDescent="0.25">
      <c r="H388" s="27">
        <f t="shared" si="24"/>
        <v>0</v>
      </c>
      <c r="J388" s="28">
        <f t="shared" si="25"/>
        <v>0</v>
      </c>
      <c r="K388" s="29">
        <f t="shared" si="26"/>
        <v>0</v>
      </c>
      <c r="L388" s="28">
        <f t="shared" si="27"/>
        <v>0</v>
      </c>
    </row>
    <row r="389" spans="8:12" x14ac:dyDescent="0.25">
      <c r="H389" s="27">
        <f t="shared" si="24"/>
        <v>0</v>
      </c>
      <c r="J389" s="28">
        <f t="shared" si="25"/>
        <v>0</v>
      </c>
      <c r="K389" s="29">
        <f t="shared" si="26"/>
        <v>0</v>
      </c>
      <c r="L389" s="28">
        <f t="shared" si="27"/>
        <v>0</v>
      </c>
    </row>
    <row r="390" spans="8:12" x14ac:dyDescent="0.25">
      <c r="H390" s="27">
        <f t="shared" si="24"/>
        <v>0</v>
      </c>
      <c r="J390" s="28">
        <f t="shared" si="25"/>
        <v>0</v>
      </c>
      <c r="K390" s="29">
        <f t="shared" si="26"/>
        <v>0</v>
      </c>
      <c r="L390" s="28">
        <f t="shared" si="27"/>
        <v>0</v>
      </c>
    </row>
    <row r="391" spans="8:12" x14ac:dyDescent="0.25">
      <c r="H391" s="27">
        <f t="shared" si="24"/>
        <v>0</v>
      </c>
      <c r="J391" s="28">
        <f t="shared" si="25"/>
        <v>0</v>
      </c>
      <c r="K391" s="29">
        <f t="shared" si="26"/>
        <v>0</v>
      </c>
      <c r="L391" s="28">
        <f t="shared" si="27"/>
        <v>0</v>
      </c>
    </row>
    <row r="392" spans="8:12" x14ac:dyDescent="0.25">
      <c r="H392" s="27">
        <f t="shared" si="24"/>
        <v>0</v>
      </c>
      <c r="J392" s="28">
        <f t="shared" si="25"/>
        <v>0</v>
      </c>
      <c r="K392" s="29">
        <f t="shared" si="26"/>
        <v>0</v>
      </c>
      <c r="L392" s="28">
        <f t="shared" si="27"/>
        <v>0</v>
      </c>
    </row>
    <row r="393" spans="8:12" x14ac:dyDescent="0.25">
      <c r="H393" s="27">
        <f t="shared" si="24"/>
        <v>0</v>
      </c>
      <c r="J393" s="28">
        <f t="shared" si="25"/>
        <v>0</v>
      </c>
      <c r="K393" s="29">
        <f t="shared" si="26"/>
        <v>0</v>
      </c>
      <c r="L393" s="28">
        <f t="shared" si="27"/>
        <v>0</v>
      </c>
    </row>
    <row r="394" spans="8:12" x14ac:dyDescent="0.25">
      <c r="H394" s="27">
        <f t="shared" si="24"/>
        <v>0</v>
      </c>
      <c r="J394" s="28">
        <f t="shared" si="25"/>
        <v>0</v>
      </c>
      <c r="K394" s="29">
        <f t="shared" si="26"/>
        <v>0</v>
      </c>
      <c r="L394" s="28">
        <f t="shared" si="27"/>
        <v>0</v>
      </c>
    </row>
    <row r="395" spans="8:12" x14ac:dyDescent="0.25">
      <c r="H395" s="27">
        <f t="shared" si="24"/>
        <v>0</v>
      </c>
      <c r="J395" s="28">
        <f t="shared" si="25"/>
        <v>0</v>
      </c>
      <c r="K395" s="29">
        <f t="shared" si="26"/>
        <v>0</v>
      </c>
      <c r="L395" s="28">
        <f t="shared" si="27"/>
        <v>0</v>
      </c>
    </row>
    <row r="396" spans="8:12" x14ac:dyDescent="0.25">
      <c r="H396" s="27">
        <f t="shared" si="24"/>
        <v>0</v>
      </c>
      <c r="J396" s="28">
        <f t="shared" si="25"/>
        <v>0</v>
      </c>
      <c r="K396" s="29">
        <f t="shared" si="26"/>
        <v>0</v>
      </c>
      <c r="L396" s="28">
        <f t="shared" si="27"/>
        <v>0</v>
      </c>
    </row>
    <row r="397" spans="8:12" x14ac:dyDescent="0.25">
      <c r="H397" s="27">
        <f t="shared" si="24"/>
        <v>0</v>
      </c>
      <c r="J397" s="28">
        <f t="shared" si="25"/>
        <v>0</v>
      </c>
      <c r="K397" s="29">
        <f t="shared" si="26"/>
        <v>0</v>
      </c>
      <c r="L397" s="28">
        <f t="shared" si="27"/>
        <v>0</v>
      </c>
    </row>
    <row r="398" spans="8:12" x14ac:dyDescent="0.25">
      <c r="H398" s="27">
        <f t="shared" si="24"/>
        <v>0</v>
      </c>
      <c r="J398" s="28">
        <f t="shared" si="25"/>
        <v>0</v>
      </c>
      <c r="K398" s="29">
        <f t="shared" si="26"/>
        <v>0</v>
      </c>
      <c r="L398" s="28">
        <f t="shared" si="27"/>
        <v>0</v>
      </c>
    </row>
    <row r="399" spans="8:12" x14ac:dyDescent="0.25">
      <c r="H399" s="27">
        <f t="shared" si="24"/>
        <v>0</v>
      </c>
      <c r="J399" s="28">
        <f t="shared" si="25"/>
        <v>0</v>
      </c>
      <c r="K399" s="29">
        <f t="shared" si="26"/>
        <v>0</v>
      </c>
      <c r="L399" s="28">
        <f t="shared" si="27"/>
        <v>0</v>
      </c>
    </row>
    <row r="400" spans="8:12" x14ac:dyDescent="0.25">
      <c r="H400" s="27">
        <f t="shared" si="24"/>
        <v>0</v>
      </c>
      <c r="J400" s="28">
        <f t="shared" si="25"/>
        <v>0</v>
      </c>
      <c r="K400" s="29">
        <f t="shared" si="26"/>
        <v>0</v>
      </c>
      <c r="L400" s="28">
        <f t="shared" si="27"/>
        <v>0</v>
      </c>
    </row>
    <row r="401" spans="8:12" x14ac:dyDescent="0.25">
      <c r="H401" s="27">
        <f t="shared" si="24"/>
        <v>0</v>
      </c>
      <c r="J401" s="28">
        <f t="shared" si="25"/>
        <v>0</v>
      </c>
      <c r="K401" s="29">
        <f t="shared" si="26"/>
        <v>0</v>
      </c>
      <c r="L401" s="28">
        <f t="shared" si="27"/>
        <v>0</v>
      </c>
    </row>
    <row r="402" spans="8:12" x14ac:dyDescent="0.25">
      <c r="H402" s="27">
        <f t="shared" si="24"/>
        <v>0</v>
      </c>
      <c r="J402" s="28">
        <f t="shared" si="25"/>
        <v>0</v>
      </c>
      <c r="K402" s="29">
        <f t="shared" si="26"/>
        <v>0</v>
      </c>
      <c r="L402" s="28">
        <f t="shared" si="27"/>
        <v>0</v>
      </c>
    </row>
    <row r="403" spans="8:12" x14ac:dyDescent="0.25">
      <c r="H403" s="27">
        <f t="shared" si="24"/>
        <v>0</v>
      </c>
      <c r="J403" s="28">
        <f t="shared" si="25"/>
        <v>0</v>
      </c>
      <c r="K403" s="29">
        <f t="shared" si="26"/>
        <v>0</v>
      </c>
      <c r="L403" s="28">
        <f t="shared" si="27"/>
        <v>0</v>
      </c>
    </row>
    <row r="404" spans="8:12" x14ac:dyDescent="0.25">
      <c r="H404" s="27">
        <f t="shared" si="24"/>
        <v>0</v>
      </c>
      <c r="J404" s="28">
        <f t="shared" si="25"/>
        <v>0</v>
      </c>
      <c r="K404" s="29">
        <f t="shared" si="26"/>
        <v>0</v>
      </c>
      <c r="L404" s="28">
        <f t="shared" si="27"/>
        <v>0</v>
      </c>
    </row>
    <row r="405" spans="8:12" x14ac:dyDescent="0.25">
      <c r="H405" s="27">
        <f t="shared" si="24"/>
        <v>0</v>
      </c>
      <c r="J405" s="28">
        <f t="shared" si="25"/>
        <v>0</v>
      </c>
      <c r="K405" s="29">
        <f t="shared" si="26"/>
        <v>0</v>
      </c>
      <c r="L405" s="28">
        <f t="shared" si="27"/>
        <v>0</v>
      </c>
    </row>
    <row r="406" spans="8:12" x14ac:dyDescent="0.25">
      <c r="H406" s="27">
        <f t="shared" si="24"/>
        <v>0</v>
      </c>
      <c r="J406" s="28">
        <f t="shared" si="25"/>
        <v>0</v>
      </c>
      <c r="K406" s="29">
        <f t="shared" si="26"/>
        <v>0</v>
      </c>
      <c r="L406" s="28">
        <f t="shared" si="27"/>
        <v>0</v>
      </c>
    </row>
    <row r="407" spans="8:12" x14ac:dyDescent="0.25">
      <c r="H407" s="27">
        <f t="shared" si="24"/>
        <v>0</v>
      </c>
      <c r="J407" s="28">
        <f t="shared" si="25"/>
        <v>0</v>
      </c>
      <c r="K407" s="29">
        <f t="shared" si="26"/>
        <v>0</v>
      </c>
      <c r="L407" s="28">
        <f t="shared" si="27"/>
        <v>0</v>
      </c>
    </row>
    <row r="408" spans="8:12" x14ac:dyDescent="0.25">
      <c r="H408" s="27">
        <f t="shared" si="24"/>
        <v>0</v>
      </c>
      <c r="J408" s="28">
        <f t="shared" si="25"/>
        <v>0</v>
      </c>
      <c r="K408" s="29">
        <f t="shared" si="26"/>
        <v>0</v>
      </c>
      <c r="L408" s="28">
        <f t="shared" si="27"/>
        <v>0</v>
      </c>
    </row>
    <row r="409" spans="8:12" x14ac:dyDescent="0.25">
      <c r="H409" s="27">
        <f t="shared" si="24"/>
        <v>0</v>
      </c>
      <c r="J409" s="28">
        <f t="shared" si="25"/>
        <v>0</v>
      </c>
      <c r="K409" s="29">
        <f t="shared" si="26"/>
        <v>0</v>
      </c>
      <c r="L409" s="28">
        <f t="shared" si="27"/>
        <v>0</v>
      </c>
    </row>
    <row r="410" spans="8:12" x14ac:dyDescent="0.25">
      <c r="H410" s="27">
        <f t="shared" si="24"/>
        <v>0</v>
      </c>
      <c r="J410" s="28">
        <f t="shared" si="25"/>
        <v>0</v>
      </c>
      <c r="K410" s="29">
        <f t="shared" si="26"/>
        <v>0</v>
      </c>
      <c r="L410" s="28">
        <f t="shared" si="27"/>
        <v>0</v>
      </c>
    </row>
    <row r="411" spans="8:12" x14ac:dyDescent="0.25">
      <c r="H411" s="27">
        <f t="shared" si="24"/>
        <v>0</v>
      </c>
      <c r="J411" s="28">
        <f t="shared" si="25"/>
        <v>0</v>
      </c>
      <c r="K411" s="29">
        <f t="shared" si="26"/>
        <v>0</v>
      </c>
      <c r="L411" s="28">
        <f t="shared" si="27"/>
        <v>0</v>
      </c>
    </row>
    <row r="412" spans="8:12" x14ac:dyDescent="0.25">
      <c r="H412" s="27">
        <f t="shared" si="24"/>
        <v>0</v>
      </c>
      <c r="J412" s="28">
        <f t="shared" si="25"/>
        <v>0</v>
      </c>
      <c r="K412" s="29">
        <f t="shared" si="26"/>
        <v>0</v>
      </c>
      <c r="L412" s="28">
        <f t="shared" si="27"/>
        <v>0</v>
      </c>
    </row>
    <row r="413" spans="8:12" x14ac:dyDescent="0.25">
      <c r="H413" s="27">
        <f t="shared" si="24"/>
        <v>0</v>
      </c>
      <c r="J413" s="28">
        <f t="shared" si="25"/>
        <v>0</v>
      </c>
      <c r="K413" s="29">
        <f t="shared" si="26"/>
        <v>0</v>
      </c>
      <c r="L413" s="28">
        <f t="shared" si="27"/>
        <v>0</v>
      </c>
    </row>
    <row r="414" spans="8:12" x14ac:dyDescent="0.25">
      <c r="H414" s="27">
        <f t="shared" si="24"/>
        <v>0</v>
      </c>
      <c r="J414" s="28">
        <f t="shared" si="25"/>
        <v>0</v>
      </c>
      <c r="K414" s="29">
        <f t="shared" si="26"/>
        <v>0</v>
      </c>
      <c r="L414" s="28">
        <f t="shared" si="27"/>
        <v>0</v>
      </c>
    </row>
    <row r="415" spans="8:12" x14ac:dyDescent="0.25">
      <c r="H415" s="27">
        <f t="shared" si="24"/>
        <v>0</v>
      </c>
      <c r="J415" s="28">
        <f t="shared" si="25"/>
        <v>0</v>
      </c>
      <c r="K415" s="29">
        <f t="shared" si="26"/>
        <v>0</v>
      </c>
      <c r="L415" s="28">
        <f t="shared" si="27"/>
        <v>0</v>
      </c>
    </row>
    <row r="416" spans="8:12" x14ac:dyDescent="0.25">
      <c r="H416" s="27">
        <f t="shared" si="24"/>
        <v>0</v>
      </c>
      <c r="J416" s="28">
        <f t="shared" si="25"/>
        <v>0</v>
      </c>
      <c r="K416" s="29">
        <f t="shared" si="26"/>
        <v>0</v>
      </c>
      <c r="L416" s="28">
        <f t="shared" si="27"/>
        <v>0</v>
      </c>
    </row>
    <row r="417" spans="8:12" x14ac:dyDescent="0.25">
      <c r="H417" s="27">
        <f t="shared" si="24"/>
        <v>0</v>
      </c>
      <c r="J417" s="28">
        <f t="shared" si="25"/>
        <v>0</v>
      </c>
      <c r="K417" s="29">
        <f t="shared" si="26"/>
        <v>0</v>
      </c>
      <c r="L417" s="28">
        <f t="shared" si="27"/>
        <v>0</v>
      </c>
    </row>
    <row r="418" spans="8:12" x14ac:dyDescent="0.25">
      <c r="H418" s="27">
        <f t="shared" si="24"/>
        <v>0</v>
      </c>
      <c r="J418" s="28">
        <f t="shared" si="25"/>
        <v>0</v>
      </c>
      <c r="K418" s="29">
        <f t="shared" si="26"/>
        <v>0</v>
      </c>
      <c r="L418" s="28">
        <f t="shared" si="27"/>
        <v>0</v>
      </c>
    </row>
    <row r="419" spans="8:12" x14ac:dyDescent="0.25">
      <c r="H419" s="27">
        <f t="shared" si="24"/>
        <v>0</v>
      </c>
      <c r="J419" s="28">
        <f t="shared" si="25"/>
        <v>0</v>
      </c>
      <c r="K419" s="29">
        <f t="shared" si="26"/>
        <v>0</v>
      </c>
      <c r="L419" s="28">
        <f t="shared" si="27"/>
        <v>0</v>
      </c>
    </row>
    <row r="420" spans="8:12" x14ac:dyDescent="0.25">
      <c r="H420" s="27">
        <f t="shared" si="24"/>
        <v>0</v>
      </c>
      <c r="J420" s="28">
        <f t="shared" si="25"/>
        <v>0</v>
      </c>
      <c r="K420" s="29">
        <f t="shared" si="26"/>
        <v>0</v>
      </c>
      <c r="L420" s="28">
        <f t="shared" si="27"/>
        <v>0</v>
      </c>
    </row>
    <row r="421" spans="8:12" x14ac:dyDescent="0.25">
      <c r="H421" s="27">
        <f t="shared" si="24"/>
        <v>0</v>
      </c>
      <c r="J421" s="28">
        <f t="shared" si="25"/>
        <v>0</v>
      </c>
      <c r="K421" s="29">
        <f t="shared" si="26"/>
        <v>0</v>
      </c>
      <c r="L421" s="28">
        <f t="shared" si="27"/>
        <v>0</v>
      </c>
    </row>
    <row r="422" spans="8:12" x14ac:dyDescent="0.25">
      <c r="H422" s="27">
        <f t="shared" si="24"/>
        <v>0</v>
      </c>
      <c r="J422" s="28">
        <f t="shared" si="25"/>
        <v>0</v>
      </c>
      <c r="K422" s="29">
        <f t="shared" si="26"/>
        <v>0</v>
      </c>
      <c r="L422" s="28">
        <f t="shared" si="27"/>
        <v>0</v>
      </c>
    </row>
    <row r="423" spans="8:12" x14ac:dyDescent="0.25">
      <c r="H423" s="27">
        <f t="shared" si="24"/>
        <v>0</v>
      </c>
      <c r="J423" s="28">
        <f t="shared" si="25"/>
        <v>0</v>
      </c>
      <c r="K423" s="29">
        <f t="shared" si="26"/>
        <v>0</v>
      </c>
      <c r="L423" s="28">
        <f t="shared" si="27"/>
        <v>0</v>
      </c>
    </row>
    <row r="424" spans="8:12" x14ac:dyDescent="0.25">
      <c r="H424" s="27">
        <f t="shared" si="24"/>
        <v>0</v>
      </c>
      <c r="J424" s="28">
        <f t="shared" si="25"/>
        <v>0</v>
      </c>
      <c r="K424" s="29">
        <f t="shared" si="26"/>
        <v>0</v>
      </c>
      <c r="L424" s="28">
        <f t="shared" si="27"/>
        <v>0</v>
      </c>
    </row>
    <row r="425" spans="8:12" x14ac:dyDescent="0.25">
      <c r="H425" s="27">
        <f t="shared" si="24"/>
        <v>0</v>
      </c>
      <c r="J425" s="28">
        <f t="shared" si="25"/>
        <v>0</v>
      </c>
      <c r="K425" s="29">
        <f t="shared" si="26"/>
        <v>0</v>
      </c>
      <c r="L425" s="28">
        <f t="shared" si="27"/>
        <v>0</v>
      </c>
    </row>
    <row r="426" spans="8:12" x14ac:dyDescent="0.25">
      <c r="H426" s="27">
        <f t="shared" si="24"/>
        <v>0</v>
      </c>
      <c r="J426" s="28">
        <f t="shared" si="25"/>
        <v>0</v>
      </c>
      <c r="K426" s="29">
        <f t="shared" si="26"/>
        <v>0</v>
      </c>
      <c r="L426" s="28">
        <f t="shared" si="27"/>
        <v>0</v>
      </c>
    </row>
    <row r="427" spans="8:12" x14ac:dyDescent="0.25">
      <c r="H427" s="27">
        <f t="shared" si="24"/>
        <v>0</v>
      </c>
      <c r="J427" s="28">
        <f t="shared" si="25"/>
        <v>0</v>
      </c>
      <c r="K427" s="29">
        <f t="shared" si="26"/>
        <v>0</v>
      </c>
      <c r="L427" s="28">
        <f t="shared" si="27"/>
        <v>0</v>
      </c>
    </row>
    <row r="428" spans="8:12" x14ac:dyDescent="0.25">
      <c r="H428" s="27">
        <f t="shared" si="24"/>
        <v>0</v>
      </c>
      <c r="J428" s="28">
        <f t="shared" si="25"/>
        <v>0</v>
      </c>
      <c r="K428" s="29">
        <f t="shared" si="26"/>
        <v>0</v>
      </c>
      <c r="L428" s="28">
        <f t="shared" si="27"/>
        <v>0</v>
      </c>
    </row>
    <row r="429" spans="8:12" x14ac:dyDescent="0.25">
      <c r="H429" s="27">
        <f t="shared" si="24"/>
        <v>0</v>
      </c>
      <c r="J429" s="28">
        <f t="shared" si="25"/>
        <v>0</v>
      </c>
      <c r="K429" s="29">
        <f t="shared" si="26"/>
        <v>0</v>
      </c>
      <c r="L429" s="28">
        <f t="shared" si="27"/>
        <v>0</v>
      </c>
    </row>
    <row r="430" spans="8:12" x14ac:dyDescent="0.25">
      <c r="H430" s="27">
        <f t="shared" si="24"/>
        <v>0</v>
      </c>
      <c r="J430" s="28">
        <f t="shared" si="25"/>
        <v>0</v>
      </c>
      <c r="K430" s="29">
        <f t="shared" si="26"/>
        <v>0</v>
      </c>
      <c r="L430" s="28">
        <f t="shared" si="27"/>
        <v>0</v>
      </c>
    </row>
    <row r="431" spans="8:12" x14ac:dyDescent="0.25">
      <c r="H431" s="27">
        <f t="shared" si="24"/>
        <v>0</v>
      </c>
      <c r="J431" s="28">
        <f t="shared" si="25"/>
        <v>0</v>
      </c>
      <c r="K431" s="29">
        <f t="shared" si="26"/>
        <v>0</v>
      </c>
      <c r="L431" s="28">
        <f t="shared" si="27"/>
        <v>0</v>
      </c>
    </row>
    <row r="432" spans="8:12" x14ac:dyDescent="0.25">
      <c r="H432" s="27">
        <f t="shared" si="24"/>
        <v>0</v>
      </c>
      <c r="J432" s="28">
        <f t="shared" si="25"/>
        <v>0</v>
      </c>
      <c r="K432" s="29">
        <f t="shared" si="26"/>
        <v>0</v>
      </c>
      <c r="L432" s="28">
        <f t="shared" si="27"/>
        <v>0</v>
      </c>
    </row>
    <row r="433" spans="8:12" x14ac:dyDescent="0.25">
      <c r="H433" s="27">
        <f t="shared" si="24"/>
        <v>0</v>
      </c>
      <c r="J433" s="28">
        <f t="shared" si="25"/>
        <v>0</v>
      </c>
      <c r="K433" s="29">
        <f t="shared" si="26"/>
        <v>0</v>
      </c>
      <c r="L433" s="28">
        <f t="shared" si="27"/>
        <v>0</v>
      </c>
    </row>
    <row r="434" spans="8:12" x14ac:dyDescent="0.25">
      <c r="H434" s="27">
        <f t="shared" si="24"/>
        <v>0</v>
      </c>
      <c r="J434" s="28">
        <f t="shared" si="25"/>
        <v>0</v>
      </c>
      <c r="K434" s="29">
        <f t="shared" si="26"/>
        <v>0</v>
      </c>
      <c r="L434" s="28">
        <f t="shared" si="27"/>
        <v>0</v>
      </c>
    </row>
    <row r="435" spans="8:12" x14ac:dyDescent="0.25">
      <c r="H435" s="27">
        <f t="shared" si="24"/>
        <v>0</v>
      </c>
      <c r="J435" s="28">
        <f t="shared" si="25"/>
        <v>0</v>
      </c>
      <c r="K435" s="29">
        <f t="shared" si="26"/>
        <v>0</v>
      </c>
      <c r="L435" s="28">
        <f t="shared" si="27"/>
        <v>0</v>
      </c>
    </row>
    <row r="436" spans="8:12" x14ac:dyDescent="0.25">
      <c r="H436" s="27">
        <f t="shared" si="24"/>
        <v>0</v>
      </c>
      <c r="J436" s="28">
        <f t="shared" si="25"/>
        <v>0</v>
      </c>
      <c r="K436" s="29">
        <f t="shared" si="26"/>
        <v>0</v>
      </c>
      <c r="L436" s="28">
        <f t="shared" si="27"/>
        <v>0</v>
      </c>
    </row>
    <row r="437" spans="8:12" x14ac:dyDescent="0.25">
      <c r="H437" s="27">
        <f t="shared" si="24"/>
        <v>0</v>
      </c>
      <c r="J437" s="28">
        <f t="shared" si="25"/>
        <v>0</v>
      </c>
      <c r="K437" s="29">
        <f t="shared" si="26"/>
        <v>0</v>
      </c>
      <c r="L437" s="28">
        <f t="shared" si="27"/>
        <v>0</v>
      </c>
    </row>
    <row r="438" spans="8:12" x14ac:dyDescent="0.25">
      <c r="H438" s="27">
        <f t="shared" si="24"/>
        <v>0</v>
      </c>
      <c r="J438" s="28">
        <f t="shared" si="25"/>
        <v>0</v>
      </c>
      <c r="K438" s="29">
        <f t="shared" si="26"/>
        <v>0</v>
      </c>
      <c r="L438" s="28">
        <f t="shared" si="27"/>
        <v>0</v>
      </c>
    </row>
    <row r="439" spans="8:12" x14ac:dyDescent="0.25">
      <c r="H439" s="27">
        <f t="shared" si="24"/>
        <v>0</v>
      </c>
      <c r="J439" s="28">
        <f t="shared" si="25"/>
        <v>0</v>
      </c>
      <c r="K439" s="29">
        <f t="shared" si="26"/>
        <v>0</v>
      </c>
      <c r="L439" s="28">
        <f t="shared" si="27"/>
        <v>0</v>
      </c>
    </row>
    <row r="440" spans="8:12" x14ac:dyDescent="0.25">
      <c r="H440" s="27">
        <f t="shared" si="24"/>
        <v>0</v>
      </c>
      <c r="J440" s="28">
        <f t="shared" si="25"/>
        <v>0</v>
      </c>
      <c r="K440" s="29">
        <f t="shared" si="26"/>
        <v>0</v>
      </c>
      <c r="L440" s="28">
        <f t="shared" si="27"/>
        <v>0</v>
      </c>
    </row>
    <row r="441" spans="8:12" x14ac:dyDescent="0.25">
      <c r="H441" s="27">
        <f t="shared" si="24"/>
        <v>0</v>
      </c>
      <c r="J441" s="28">
        <f t="shared" si="25"/>
        <v>0</v>
      </c>
      <c r="K441" s="29">
        <f t="shared" si="26"/>
        <v>0</v>
      </c>
      <c r="L441" s="28">
        <f t="shared" si="27"/>
        <v>0</v>
      </c>
    </row>
    <row r="442" spans="8:12" x14ac:dyDescent="0.25">
      <c r="H442" s="27">
        <f t="shared" si="24"/>
        <v>0</v>
      </c>
      <c r="J442" s="28">
        <f t="shared" si="25"/>
        <v>0</v>
      </c>
      <c r="K442" s="29">
        <f t="shared" si="26"/>
        <v>0</v>
      </c>
      <c r="L442" s="28">
        <f t="shared" si="27"/>
        <v>0</v>
      </c>
    </row>
    <row r="443" spans="8:12" x14ac:dyDescent="0.25">
      <c r="H443" s="27">
        <f t="shared" si="24"/>
        <v>0</v>
      </c>
      <c r="J443" s="28">
        <f t="shared" si="25"/>
        <v>0</v>
      </c>
      <c r="K443" s="29">
        <f t="shared" si="26"/>
        <v>0</v>
      </c>
      <c r="L443" s="28">
        <f t="shared" si="27"/>
        <v>0</v>
      </c>
    </row>
    <row r="444" spans="8:12" x14ac:dyDescent="0.25">
      <c r="H444" s="27">
        <f t="shared" si="24"/>
        <v>0</v>
      </c>
      <c r="J444" s="28">
        <f t="shared" si="25"/>
        <v>0</v>
      </c>
      <c r="K444" s="29">
        <f t="shared" si="26"/>
        <v>0</v>
      </c>
      <c r="L444" s="28">
        <f t="shared" si="27"/>
        <v>0</v>
      </c>
    </row>
    <row r="445" spans="8:12" x14ac:dyDescent="0.25">
      <c r="H445" s="27">
        <f t="shared" si="24"/>
        <v>0</v>
      </c>
      <c r="J445" s="28">
        <f t="shared" si="25"/>
        <v>0</v>
      </c>
      <c r="K445" s="29">
        <f t="shared" si="26"/>
        <v>0</v>
      </c>
      <c r="L445" s="28">
        <f t="shared" si="27"/>
        <v>0</v>
      </c>
    </row>
    <row r="446" spans="8:12" x14ac:dyDescent="0.25">
      <c r="H446" s="27">
        <f t="shared" si="24"/>
        <v>0</v>
      </c>
      <c r="J446" s="28">
        <f t="shared" si="25"/>
        <v>0</v>
      </c>
      <c r="K446" s="29">
        <f t="shared" si="26"/>
        <v>0</v>
      </c>
      <c r="L446" s="28">
        <f t="shared" si="27"/>
        <v>0</v>
      </c>
    </row>
    <row r="447" spans="8:12" x14ac:dyDescent="0.25">
      <c r="H447" s="27">
        <f t="shared" si="24"/>
        <v>0</v>
      </c>
      <c r="J447" s="28">
        <f t="shared" si="25"/>
        <v>0</v>
      </c>
      <c r="K447" s="29">
        <f t="shared" si="26"/>
        <v>0</v>
      </c>
      <c r="L447" s="28">
        <f t="shared" si="27"/>
        <v>0</v>
      </c>
    </row>
    <row r="448" spans="8:12" x14ac:dyDescent="0.25">
      <c r="H448" s="27">
        <f t="shared" si="24"/>
        <v>0</v>
      </c>
      <c r="J448" s="28">
        <f t="shared" si="25"/>
        <v>0</v>
      </c>
      <c r="K448" s="29">
        <f t="shared" si="26"/>
        <v>0</v>
      </c>
      <c r="L448" s="28">
        <f t="shared" si="27"/>
        <v>0</v>
      </c>
    </row>
    <row r="449" spans="8:12" x14ac:dyDescent="0.25">
      <c r="H449" s="27">
        <f t="shared" si="24"/>
        <v>0</v>
      </c>
      <c r="J449" s="28">
        <f t="shared" si="25"/>
        <v>0</v>
      </c>
      <c r="K449" s="29">
        <f t="shared" si="26"/>
        <v>0</v>
      </c>
      <c r="L449" s="28">
        <f t="shared" si="27"/>
        <v>0</v>
      </c>
    </row>
    <row r="450" spans="8:12" x14ac:dyDescent="0.25">
      <c r="H450" s="27">
        <f t="shared" ref="H450:H513" si="28">E450*F450</f>
        <v>0</v>
      </c>
      <c r="J450" s="28">
        <f t="shared" ref="J450:J513" si="29">I450*H450</f>
        <v>0</v>
      </c>
      <c r="K450" s="29">
        <f t="shared" ref="K450:K513" si="30">IF(M450="товар",$Q$4, IF(M450="м/к",$Q$2,IF(M450="комп",$Q$3,IF(M450="услуга",$Q$5,0))))</f>
        <v>0</v>
      </c>
      <c r="L450" s="28">
        <f t="shared" ref="L450:L513" si="31">(1+K450)*J450</f>
        <v>0</v>
      </c>
    </row>
    <row r="451" spans="8:12" x14ac:dyDescent="0.25">
      <c r="H451" s="27">
        <f t="shared" si="28"/>
        <v>0</v>
      </c>
      <c r="J451" s="28">
        <f t="shared" si="29"/>
        <v>0</v>
      </c>
      <c r="K451" s="29">
        <f t="shared" si="30"/>
        <v>0</v>
      </c>
      <c r="L451" s="28">
        <f t="shared" si="31"/>
        <v>0</v>
      </c>
    </row>
    <row r="452" spans="8:12" x14ac:dyDescent="0.25">
      <c r="H452" s="27">
        <f t="shared" si="28"/>
        <v>0</v>
      </c>
      <c r="J452" s="28">
        <f t="shared" si="29"/>
        <v>0</v>
      </c>
      <c r="K452" s="29">
        <f t="shared" si="30"/>
        <v>0</v>
      </c>
      <c r="L452" s="28">
        <f t="shared" si="31"/>
        <v>0</v>
      </c>
    </row>
    <row r="453" spans="8:12" x14ac:dyDescent="0.25">
      <c r="H453" s="27">
        <f t="shared" si="28"/>
        <v>0</v>
      </c>
      <c r="J453" s="28">
        <f t="shared" si="29"/>
        <v>0</v>
      </c>
      <c r="K453" s="29">
        <f t="shared" si="30"/>
        <v>0</v>
      </c>
      <c r="L453" s="28">
        <f t="shared" si="31"/>
        <v>0</v>
      </c>
    </row>
    <row r="454" spans="8:12" x14ac:dyDescent="0.25">
      <c r="H454" s="27">
        <f t="shared" si="28"/>
        <v>0</v>
      </c>
      <c r="J454" s="28">
        <f t="shared" si="29"/>
        <v>0</v>
      </c>
      <c r="K454" s="29">
        <f t="shared" si="30"/>
        <v>0</v>
      </c>
      <c r="L454" s="28">
        <f t="shared" si="31"/>
        <v>0</v>
      </c>
    </row>
    <row r="455" spans="8:12" x14ac:dyDescent="0.25">
      <c r="H455" s="27">
        <f t="shared" si="28"/>
        <v>0</v>
      </c>
      <c r="J455" s="28">
        <f t="shared" si="29"/>
        <v>0</v>
      </c>
      <c r="K455" s="29">
        <f t="shared" si="30"/>
        <v>0</v>
      </c>
      <c r="L455" s="28">
        <f t="shared" si="31"/>
        <v>0</v>
      </c>
    </row>
    <row r="456" spans="8:12" x14ac:dyDescent="0.25">
      <c r="H456" s="27">
        <f t="shared" si="28"/>
        <v>0</v>
      </c>
      <c r="J456" s="28">
        <f t="shared" si="29"/>
        <v>0</v>
      </c>
      <c r="K456" s="29">
        <f t="shared" si="30"/>
        <v>0</v>
      </c>
      <c r="L456" s="28">
        <f t="shared" si="31"/>
        <v>0</v>
      </c>
    </row>
    <row r="457" spans="8:12" x14ac:dyDescent="0.25">
      <c r="H457" s="27">
        <f t="shared" si="28"/>
        <v>0</v>
      </c>
      <c r="J457" s="28">
        <f t="shared" si="29"/>
        <v>0</v>
      </c>
      <c r="K457" s="29">
        <f t="shared" si="30"/>
        <v>0</v>
      </c>
      <c r="L457" s="28">
        <f t="shared" si="31"/>
        <v>0</v>
      </c>
    </row>
    <row r="458" spans="8:12" x14ac:dyDescent="0.25">
      <c r="H458" s="27">
        <f t="shared" si="28"/>
        <v>0</v>
      </c>
      <c r="J458" s="28">
        <f t="shared" si="29"/>
        <v>0</v>
      </c>
      <c r="K458" s="29">
        <f t="shared" si="30"/>
        <v>0</v>
      </c>
      <c r="L458" s="28">
        <f t="shared" si="31"/>
        <v>0</v>
      </c>
    </row>
    <row r="459" spans="8:12" x14ac:dyDescent="0.25">
      <c r="H459" s="27">
        <f t="shared" si="28"/>
        <v>0</v>
      </c>
      <c r="J459" s="28">
        <f t="shared" si="29"/>
        <v>0</v>
      </c>
      <c r="K459" s="29">
        <f t="shared" si="30"/>
        <v>0</v>
      </c>
      <c r="L459" s="28">
        <f t="shared" si="31"/>
        <v>0</v>
      </c>
    </row>
    <row r="460" spans="8:12" x14ac:dyDescent="0.25">
      <c r="H460" s="27">
        <f t="shared" si="28"/>
        <v>0</v>
      </c>
      <c r="J460" s="28">
        <f t="shared" si="29"/>
        <v>0</v>
      </c>
      <c r="K460" s="29">
        <f t="shared" si="30"/>
        <v>0</v>
      </c>
      <c r="L460" s="28">
        <f t="shared" si="31"/>
        <v>0</v>
      </c>
    </row>
    <row r="461" spans="8:12" x14ac:dyDescent="0.25">
      <c r="H461" s="27">
        <f t="shared" si="28"/>
        <v>0</v>
      </c>
      <c r="J461" s="28">
        <f t="shared" si="29"/>
        <v>0</v>
      </c>
      <c r="K461" s="29">
        <f t="shared" si="30"/>
        <v>0</v>
      </c>
      <c r="L461" s="28">
        <f t="shared" si="31"/>
        <v>0</v>
      </c>
    </row>
    <row r="462" spans="8:12" x14ac:dyDescent="0.25">
      <c r="H462" s="27">
        <f t="shared" si="28"/>
        <v>0</v>
      </c>
      <c r="J462" s="28">
        <f t="shared" si="29"/>
        <v>0</v>
      </c>
      <c r="K462" s="29">
        <f t="shared" si="30"/>
        <v>0</v>
      </c>
      <c r="L462" s="28">
        <f t="shared" si="31"/>
        <v>0</v>
      </c>
    </row>
    <row r="463" spans="8:12" x14ac:dyDescent="0.25">
      <c r="H463" s="27">
        <f t="shared" si="28"/>
        <v>0</v>
      </c>
      <c r="J463" s="28">
        <f t="shared" si="29"/>
        <v>0</v>
      </c>
      <c r="K463" s="29">
        <f t="shared" si="30"/>
        <v>0</v>
      </c>
      <c r="L463" s="28">
        <f t="shared" si="31"/>
        <v>0</v>
      </c>
    </row>
    <row r="464" spans="8:12" x14ac:dyDescent="0.25">
      <c r="H464" s="27">
        <f t="shared" si="28"/>
        <v>0</v>
      </c>
      <c r="J464" s="28">
        <f t="shared" si="29"/>
        <v>0</v>
      </c>
      <c r="K464" s="29">
        <f t="shared" si="30"/>
        <v>0</v>
      </c>
      <c r="L464" s="28">
        <f t="shared" si="31"/>
        <v>0</v>
      </c>
    </row>
    <row r="465" spans="8:12" x14ac:dyDescent="0.25">
      <c r="H465" s="27">
        <f t="shared" si="28"/>
        <v>0</v>
      </c>
      <c r="J465" s="28">
        <f t="shared" si="29"/>
        <v>0</v>
      </c>
      <c r="K465" s="29">
        <f t="shared" si="30"/>
        <v>0</v>
      </c>
      <c r="L465" s="28">
        <f t="shared" si="31"/>
        <v>0</v>
      </c>
    </row>
    <row r="466" spans="8:12" x14ac:dyDescent="0.25">
      <c r="H466" s="27">
        <f t="shared" si="28"/>
        <v>0</v>
      </c>
      <c r="J466" s="28">
        <f t="shared" si="29"/>
        <v>0</v>
      </c>
      <c r="K466" s="29">
        <f t="shared" si="30"/>
        <v>0</v>
      </c>
      <c r="L466" s="28">
        <f t="shared" si="31"/>
        <v>0</v>
      </c>
    </row>
    <row r="467" spans="8:12" x14ac:dyDescent="0.25">
      <c r="H467" s="27">
        <f t="shared" si="28"/>
        <v>0</v>
      </c>
      <c r="J467" s="28">
        <f t="shared" si="29"/>
        <v>0</v>
      </c>
      <c r="K467" s="29">
        <f t="shared" si="30"/>
        <v>0</v>
      </c>
      <c r="L467" s="28">
        <f t="shared" si="31"/>
        <v>0</v>
      </c>
    </row>
    <row r="468" spans="8:12" x14ac:dyDescent="0.25">
      <c r="H468" s="27">
        <f t="shared" si="28"/>
        <v>0</v>
      </c>
      <c r="J468" s="28">
        <f t="shared" si="29"/>
        <v>0</v>
      </c>
      <c r="K468" s="29">
        <f t="shared" si="30"/>
        <v>0</v>
      </c>
      <c r="L468" s="28">
        <f t="shared" si="31"/>
        <v>0</v>
      </c>
    </row>
    <row r="469" spans="8:12" x14ac:dyDescent="0.25">
      <c r="H469" s="27">
        <f t="shared" si="28"/>
        <v>0</v>
      </c>
      <c r="J469" s="28">
        <f t="shared" si="29"/>
        <v>0</v>
      </c>
      <c r="K469" s="29">
        <f t="shared" si="30"/>
        <v>0</v>
      </c>
      <c r="L469" s="28">
        <f t="shared" si="31"/>
        <v>0</v>
      </c>
    </row>
    <row r="470" spans="8:12" x14ac:dyDescent="0.25">
      <c r="H470" s="27">
        <f t="shared" si="28"/>
        <v>0</v>
      </c>
      <c r="J470" s="28">
        <f t="shared" si="29"/>
        <v>0</v>
      </c>
      <c r="K470" s="29">
        <f t="shared" si="30"/>
        <v>0</v>
      </c>
      <c r="L470" s="28">
        <f t="shared" si="31"/>
        <v>0</v>
      </c>
    </row>
    <row r="471" spans="8:12" x14ac:dyDescent="0.25">
      <c r="H471" s="27">
        <f t="shared" si="28"/>
        <v>0</v>
      </c>
      <c r="J471" s="28">
        <f t="shared" si="29"/>
        <v>0</v>
      </c>
      <c r="K471" s="29">
        <f t="shared" si="30"/>
        <v>0</v>
      </c>
      <c r="L471" s="28">
        <f t="shared" si="31"/>
        <v>0</v>
      </c>
    </row>
    <row r="472" spans="8:12" x14ac:dyDescent="0.25">
      <c r="H472" s="27">
        <f t="shared" si="28"/>
        <v>0</v>
      </c>
      <c r="J472" s="28">
        <f t="shared" si="29"/>
        <v>0</v>
      </c>
      <c r="K472" s="29">
        <f t="shared" si="30"/>
        <v>0</v>
      </c>
      <c r="L472" s="28">
        <f t="shared" si="31"/>
        <v>0</v>
      </c>
    </row>
    <row r="473" spans="8:12" x14ac:dyDescent="0.25">
      <c r="H473" s="27">
        <f t="shared" si="28"/>
        <v>0</v>
      </c>
      <c r="J473" s="28">
        <f t="shared" si="29"/>
        <v>0</v>
      </c>
      <c r="K473" s="29">
        <f t="shared" si="30"/>
        <v>0</v>
      </c>
      <c r="L473" s="28">
        <f t="shared" si="31"/>
        <v>0</v>
      </c>
    </row>
    <row r="474" spans="8:12" x14ac:dyDescent="0.25">
      <c r="H474" s="27">
        <f t="shared" si="28"/>
        <v>0</v>
      </c>
      <c r="J474" s="28">
        <f t="shared" si="29"/>
        <v>0</v>
      </c>
      <c r="K474" s="29">
        <f t="shared" si="30"/>
        <v>0</v>
      </c>
      <c r="L474" s="28">
        <f t="shared" si="31"/>
        <v>0</v>
      </c>
    </row>
    <row r="475" spans="8:12" x14ac:dyDescent="0.25">
      <c r="H475" s="27">
        <f t="shared" si="28"/>
        <v>0</v>
      </c>
      <c r="J475" s="28">
        <f t="shared" si="29"/>
        <v>0</v>
      </c>
      <c r="K475" s="29">
        <f t="shared" si="30"/>
        <v>0</v>
      </c>
      <c r="L475" s="28">
        <f t="shared" si="31"/>
        <v>0</v>
      </c>
    </row>
    <row r="476" spans="8:12" x14ac:dyDescent="0.25">
      <c r="H476" s="27">
        <f t="shared" si="28"/>
        <v>0</v>
      </c>
      <c r="J476" s="28">
        <f t="shared" si="29"/>
        <v>0</v>
      </c>
      <c r="K476" s="29">
        <f t="shared" si="30"/>
        <v>0</v>
      </c>
      <c r="L476" s="28">
        <f t="shared" si="31"/>
        <v>0</v>
      </c>
    </row>
    <row r="477" spans="8:12" x14ac:dyDescent="0.25">
      <c r="H477" s="27">
        <f t="shared" si="28"/>
        <v>0</v>
      </c>
      <c r="J477" s="28">
        <f t="shared" si="29"/>
        <v>0</v>
      </c>
      <c r="K477" s="29">
        <f t="shared" si="30"/>
        <v>0</v>
      </c>
      <c r="L477" s="28">
        <f t="shared" si="31"/>
        <v>0</v>
      </c>
    </row>
    <row r="478" spans="8:12" x14ac:dyDescent="0.25">
      <c r="H478" s="27">
        <f t="shared" si="28"/>
        <v>0</v>
      </c>
      <c r="J478" s="28">
        <f t="shared" si="29"/>
        <v>0</v>
      </c>
      <c r="K478" s="29">
        <f t="shared" si="30"/>
        <v>0</v>
      </c>
      <c r="L478" s="28">
        <f t="shared" si="31"/>
        <v>0</v>
      </c>
    </row>
    <row r="479" spans="8:12" x14ac:dyDescent="0.25">
      <c r="H479" s="27">
        <f t="shared" si="28"/>
        <v>0</v>
      </c>
      <c r="J479" s="28">
        <f t="shared" si="29"/>
        <v>0</v>
      </c>
      <c r="K479" s="29">
        <f t="shared" si="30"/>
        <v>0</v>
      </c>
      <c r="L479" s="28">
        <f t="shared" si="31"/>
        <v>0</v>
      </c>
    </row>
    <row r="480" spans="8:12" x14ac:dyDescent="0.25">
      <c r="H480" s="27">
        <f t="shared" si="28"/>
        <v>0</v>
      </c>
      <c r="J480" s="28">
        <f t="shared" si="29"/>
        <v>0</v>
      </c>
      <c r="K480" s="29">
        <f t="shared" si="30"/>
        <v>0</v>
      </c>
      <c r="L480" s="28">
        <f t="shared" si="31"/>
        <v>0</v>
      </c>
    </row>
    <row r="481" spans="8:12" x14ac:dyDescent="0.25">
      <c r="H481" s="27">
        <f t="shared" si="28"/>
        <v>0</v>
      </c>
      <c r="J481" s="28">
        <f t="shared" si="29"/>
        <v>0</v>
      </c>
      <c r="K481" s="29">
        <f t="shared" si="30"/>
        <v>0</v>
      </c>
      <c r="L481" s="28">
        <f t="shared" si="31"/>
        <v>0</v>
      </c>
    </row>
    <row r="482" spans="8:12" x14ac:dyDescent="0.25">
      <c r="H482" s="27">
        <f t="shared" si="28"/>
        <v>0</v>
      </c>
      <c r="J482" s="28">
        <f t="shared" si="29"/>
        <v>0</v>
      </c>
      <c r="K482" s="29">
        <f t="shared" si="30"/>
        <v>0</v>
      </c>
      <c r="L482" s="28">
        <f t="shared" si="31"/>
        <v>0</v>
      </c>
    </row>
    <row r="483" spans="8:12" x14ac:dyDescent="0.25">
      <c r="H483" s="27">
        <f t="shared" si="28"/>
        <v>0</v>
      </c>
      <c r="J483" s="28">
        <f t="shared" si="29"/>
        <v>0</v>
      </c>
      <c r="K483" s="29">
        <f t="shared" si="30"/>
        <v>0</v>
      </c>
      <c r="L483" s="28">
        <f t="shared" si="31"/>
        <v>0</v>
      </c>
    </row>
    <row r="484" spans="8:12" x14ac:dyDescent="0.25">
      <c r="H484" s="27">
        <f t="shared" si="28"/>
        <v>0</v>
      </c>
      <c r="J484" s="28">
        <f t="shared" si="29"/>
        <v>0</v>
      </c>
      <c r="K484" s="29">
        <f t="shared" si="30"/>
        <v>0</v>
      </c>
      <c r="L484" s="28">
        <f t="shared" si="31"/>
        <v>0</v>
      </c>
    </row>
    <row r="485" spans="8:12" x14ac:dyDescent="0.25">
      <c r="H485" s="27">
        <f t="shared" si="28"/>
        <v>0</v>
      </c>
      <c r="J485" s="28">
        <f t="shared" si="29"/>
        <v>0</v>
      </c>
      <c r="K485" s="29">
        <f t="shared" si="30"/>
        <v>0</v>
      </c>
      <c r="L485" s="28">
        <f t="shared" si="31"/>
        <v>0</v>
      </c>
    </row>
    <row r="486" spans="8:12" x14ac:dyDescent="0.25">
      <c r="H486" s="27">
        <f t="shared" si="28"/>
        <v>0</v>
      </c>
      <c r="J486" s="28">
        <f t="shared" si="29"/>
        <v>0</v>
      </c>
      <c r="K486" s="29">
        <f t="shared" si="30"/>
        <v>0</v>
      </c>
      <c r="L486" s="28">
        <f t="shared" si="31"/>
        <v>0</v>
      </c>
    </row>
    <row r="487" spans="8:12" x14ac:dyDescent="0.25">
      <c r="H487" s="27">
        <f t="shared" si="28"/>
        <v>0</v>
      </c>
      <c r="J487" s="28">
        <f t="shared" si="29"/>
        <v>0</v>
      </c>
      <c r="K487" s="29">
        <f t="shared" si="30"/>
        <v>0</v>
      </c>
      <c r="L487" s="28">
        <f t="shared" si="31"/>
        <v>0</v>
      </c>
    </row>
    <row r="488" spans="8:12" x14ac:dyDescent="0.25">
      <c r="H488" s="27">
        <f t="shared" si="28"/>
        <v>0</v>
      </c>
      <c r="J488" s="28">
        <f t="shared" si="29"/>
        <v>0</v>
      </c>
      <c r="K488" s="29">
        <f t="shared" si="30"/>
        <v>0</v>
      </c>
      <c r="L488" s="28">
        <f t="shared" si="31"/>
        <v>0</v>
      </c>
    </row>
    <row r="489" spans="8:12" x14ac:dyDescent="0.25">
      <c r="H489" s="27">
        <f t="shared" si="28"/>
        <v>0</v>
      </c>
      <c r="J489" s="28">
        <f t="shared" si="29"/>
        <v>0</v>
      </c>
      <c r="K489" s="29">
        <f t="shared" si="30"/>
        <v>0</v>
      </c>
      <c r="L489" s="28">
        <f t="shared" si="31"/>
        <v>0</v>
      </c>
    </row>
    <row r="490" spans="8:12" x14ac:dyDescent="0.25">
      <c r="H490" s="27">
        <f t="shared" si="28"/>
        <v>0</v>
      </c>
      <c r="J490" s="28">
        <f t="shared" si="29"/>
        <v>0</v>
      </c>
      <c r="K490" s="29">
        <f t="shared" si="30"/>
        <v>0</v>
      </c>
      <c r="L490" s="28">
        <f t="shared" si="31"/>
        <v>0</v>
      </c>
    </row>
    <row r="491" spans="8:12" x14ac:dyDescent="0.25">
      <c r="H491" s="27">
        <f t="shared" si="28"/>
        <v>0</v>
      </c>
      <c r="J491" s="28">
        <f t="shared" si="29"/>
        <v>0</v>
      </c>
      <c r="K491" s="29">
        <f t="shared" si="30"/>
        <v>0</v>
      </c>
      <c r="L491" s="28">
        <f t="shared" si="31"/>
        <v>0</v>
      </c>
    </row>
    <row r="492" spans="8:12" x14ac:dyDescent="0.25">
      <c r="H492" s="27">
        <f t="shared" si="28"/>
        <v>0</v>
      </c>
      <c r="J492" s="28">
        <f t="shared" si="29"/>
        <v>0</v>
      </c>
      <c r="K492" s="29">
        <f t="shared" si="30"/>
        <v>0</v>
      </c>
      <c r="L492" s="28">
        <f t="shared" si="31"/>
        <v>0</v>
      </c>
    </row>
    <row r="493" spans="8:12" x14ac:dyDescent="0.25">
      <c r="H493" s="27">
        <f t="shared" si="28"/>
        <v>0</v>
      </c>
      <c r="J493" s="28">
        <f t="shared" si="29"/>
        <v>0</v>
      </c>
      <c r="K493" s="29">
        <f t="shared" si="30"/>
        <v>0</v>
      </c>
      <c r="L493" s="28">
        <f t="shared" si="31"/>
        <v>0</v>
      </c>
    </row>
    <row r="494" spans="8:12" x14ac:dyDescent="0.25">
      <c r="H494" s="27">
        <f t="shared" si="28"/>
        <v>0</v>
      </c>
      <c r="J494" s="28">
        <f t="shared" si="29"/>
        <v>0</v>
      </c>
      <c r="K494" s="29">
        <f t="shared" si="30"/>
        <v>0</v>
      </c>
      <c r="L494" s="28">
        <f t="shared" si="31"/>
        <v>0</v>
      </c>
    </row>
    <row r="495" spans="8:12" x14ac:dyDescent="0.25">
      <c r="H495" s="27">
        <f t="shared" si="28"/>
        <v>0</v>
      </c>
      <c r="J495" s="28">
        <f t="shared" si="29"/>
        <v>0</v>
      </c>
      <c r="K495" s="29">
        <f t="shared" si="30"/>
        <v>0</v>
      </c>
      <c r="L495" s="28">
        <f t="shared" si="31"/>
        <v>0</v>
      </c>
    </row>
    <row r="496" spans="8:12" x14ac:dyDescent="0.25">
      <c r="H496" s="27">
        <f t="shared" si="28"/>
        <v>0</v>
      </c>
      <c r="J496" s="28">
        <f t="shared" si="29"/>
        <v>0</v>
      </c>
      <c r="K496" s="29">
        <f t="shared" si="30"/>
        <v>0</v>
      </c>
      <c r="L496" s="28">
        <f t="shared" si="31"/>
        <v>0</v>
      </c>
    </row>
    <row r="497" spans="8:12" x14ac:dyDescent="0.25">
      <c r="H497" s="27">
        <f t="shared" si="28"/>
        <v>0</v>
      </c>
      <c r="J497" s="28">
        <f t="shared" si="29"/>
        <v>0</v>
      </c>
      <c r="K497" s="29">
        <f t="shared" si="30"/>
        <v>0</v>
      </c>
      <c r="L497" s="28">
        <f t="shared" si="31"/>
        <v>0</v>
      </c>
    </row>
    <row r="498" spans="8:12" x14ac:dyDescent="0.25">
      <c r="H498" s="27">
        <f t="shared" si="28"/>
        <v>0</v>
      </c>
      <c r="J498" s="28">
        <f t="shared" si="29"/>
        <v>0</v>
      </c>
      <c r="K498" s="29">
        <f t="shared" si="30"/>
        <v>0</v>
      </c>
      <c r="L498" s="28">
        <f t="shared" si="31"/>
        <v>0</v>
      </c>
    </row>
    <row r="499" spans="8:12" x14ac:dyDescent="0.25">
      <c r="H499" s="27">
        <f t="shared" si="28"/>
        <v>0</v>
      </c>
      <c r="J499" s="28">
        <f t="shared" si="29"/>
        <v>0</v>
      </c>
      <c r="K499" s="29">
        <f t="shared" si="30"/>
        <v>0</v>
      </c>
      <c r="L499" s="28">
        <f t="shared" si="31"/>
        <v>0</v>
      </c>
    </row>
    <row r="500" spans="8:12" x14ac:dyDescent="0.25">
      <c r="H500" s="27">
        <f t="shared" si="28"/>
        <v>0</v>
      </c>
      <c r="J500" s="28">
        <f t="shared" si="29"/>
        <v>0</v>
      </c>
      <c r="K500" s="29">
        <f t="shared" si="30"/>
        <v>0</v>
      </c>
      <c r="L500" s="28">
        <f t="shared" si="31"/>
        <v>0</v>
      </c>
    </row>
    <row r="501" spans="8:12" x14ac:dyDescent="0.25">
      <c r="H501" s="27">
        <f t="shared" si="28"/>
        <v>0</v>
      </c>
      <c r="J501" s="28">
        <f t="shared" si="29"/>
        <v>0</v>
      </c>
      <c r="K501" s="29">
        <f t="shared" si="30"/>
        <v>0</v>
      </c>
      <c r="L501" s="28">
        <f t="shared" si="31"/>
        <v>0</v>
      </c>
    </row>
    <row r="502" spans="8:12" x14ac:dyDescent="0.25">
      <c r="H502" s="27">
        <f t="shared" si="28"/>
        <v>0</v>
      </c>
      <c r="J502" s="28">
        <f t="shared" si="29"/>
        <v>0</v>
      </c>
      <c r="K502" s="29">
        <f t="shared" si="30"/>
        <v>0</v>
      </c>
      <c r="L502" s="28">
        <f t="shared" si="31"/>
        <v>0</v>
      </c>
    </row>
    <row r="503" spans="8:12" x14ac:dyDescent="0.25">
      <c r="H503" s="27">
        <f t="shared" si="28"/>
        <v>0</v>
      </c>
      <c r="J503" s="28">
        <f t="shared" si="29"/>
        <v>0</v>
      </c>
      <c r="K503" s="29">
        <f t="shared" si="30"/>
        <v>0</v>
      </c>
      <c r="L503" s="28">
        <f t="shared" si="31"/>
        <v>0</v>
      </c>
    </row>
    <row r="504" spans="8:12" x14ac:dyDescent="0.25">
      <c r="H504" s="27">
        <f t="shared" si="28"/>
        <v>0</v>
      </c>
      <c r="J504" s="28">
        <f t="shared" si="29"/>
        <v>0</v>
      </c>
      <c r="K504" s="29">
        <f t="shared" si="30"/>
        <v>0</v>
      </c>
      <c r="L504" s="28">
        <f t="shared" si="31"/>
        <v>0</v>
      </c>
    </row>
    <row r="505" spans="8:12" x14ac:dyDescent="0.25">
      <c r="H505" s="27">
        <f t="shared" si="28"/>
        <v>0</v>
      </c>
      <c r="J505" s="28">
        <f t="shared" si="29"/>
        <v>0</v>
      </c>
      <c r="K505" s="29">
        <f t="shared" si="30"/>
        <v>0</v>
      </c>
      <c r="L505" s="28">
        <f t="shared" si="31"/>
        <v>0</v>
      </c>
    </row>
    <row r="506" spans="8:12" x14ac:dyDescent="0.25">
      <c r="H506" s="27">
        <f t="shared" si="28"/>
        <v>0</v>
      </c>
      <c r="J506" s="28">
        <f t="shared" si="29"/>
        <v>0</v>
      </c>
      <c r="K506" s="29">
        <f t="shared" si="30"/>
        <v>0</v>
      </c>
      <c r="L506" s="28">
        <f t="shared" si="31"/>
        <v>0</v>
      </c>
    </row>
    <row r="507" spans="8:12" x14ac:dyDescent="0.25">
      <c r="H507" s="27">
        <f t="shared" si="28"/>
        <v>0</v>
      </c>
      <c r="J507" s="28">
        <f t="shared" si="29"/>
        <v>0</v>
      </c>
      <c r="K507" s="29">
        <f t="shared" si="30"/>
        <v>0</v>
      </c>
      <c r="L507" s="28">
        <f t="shared" si="31"/>
        <v>0</v>
      </c>
    </row>
    <row r="508" spans="8:12" x14ac:dyDescent="0.25">
      <c r="H508" s="27">
        <f t="shared" si="28"/>
        <v>0</v>
      </c>
      <c r="J508" s="28">
        <f t="shared" si="29"/>
        <v>0</v>
      </c>
      <c r="K508" s="29">
        <f t="shared" si="30"/>
        <v>0</v>
      </c>
      <c r="L508" s="28">
        <f t="shared" si="31"/>
        <v>0</v>
      </c>
    </row>
    <row r="509" spans="8:12" x14ac:dyDescent="0.25">
      <c r="H509" s="27">
        <f t="shared" si="28"/>
        <v>0</v>
      </c>
      <c r="J509" s="28">
        <f t="shared" si="29"/>
        <v>0</v>
      </c>
      <c r="K509" s="29">
        <f t="shared" si="30"/>
        <v>0</v>
      </c>
      <c r="L509" s="28">
        <f t="shared" si="31"/>
        <v>0</v>
      </c>
    </row>
    <row r="510" spans="8:12" x14ac:dyDescent="0.25">
      <c r="H510" s="27">
        <f t="shared" si="28"/>
        <v>0</v>
      </c>
      <c r="J510" s="28">
        <f t="shared" si="29"/>
        <v>0</v>
      </c>
      <c r="K510" s="29">
        <f t="shared" si="30"/>
        <v>0</v>
      </c>
      <c r="L510" s="28">
        <f t="shared" si="31"/>
        <v>0</v>
      </c>
    </row>
    <row r="511" spans="8:12" x14ac:dyDescent="0.25">
      <c r="H511" s="27">
        <f t="shared" si="28"/>
        <v>0</v>
      </c>
      <c r="J511" s="28">
        <f t="shared" si="29"/>
        <v>0</v>
      </c>
      <c r="K511" s="29">
        <f t="shared" si="30"/>
        <v>0</v>
      </c>
      <c r="L511" s="28">
        <f t="shared" si="31"/>
        <v>0</v>
      </c>
    </row>
    <row r="512" spans="8:12" x14ac:dyDescent="0.25">
      <c r="H512" s="27">
        <f t="shared" si="28"/>
        <v>0</v>
      </c>
      <c r="J512" s="28">
        <f t="shared" si="29"/>
        <v>0</v>
      </c>
      <c r="K512" s="29">
        <f t="shared" si="30"/>
        <v>0</v>
      </c>
      <c r="L512" s="28">
        <f t="shared" si="31"/>
        <v>0</v>
      </c>
    </row>
    <row r="513" spans="8:12" x14ac:dyDescent="0.25">
      <c r="H513" s="27">
        <f t="shared" si="28"/>
        <v>0</v>
      </c>
      <c r="J513" s="28">
        <f t="shared" si="29"/>
        <v>0</v>
      </c>
      <c r="K513" s="29">
        <f t="shared" si="30"/>
        <v>0</v>
      </c>
      <c r="L513" s="28">
        <f t="shared" si="31"/>
        <v>0</v>
      </c>
    </row>
    <row r="514" spans="8:12" x14ac:dyDescent="0.25">
      <c r="H514" s="27">
        <f t="shared" ref="H514:H577" si="32">E514*F514</f>
        <v>0</v>
      </c>
      <c r="J514" s="28">
        <f t="shared" ref="J514:J577" si="33">I514*H514</f>
        <v>0</v>
      </c>
      <c r="K514" s="29">
        <f t="shared" ref="K514:K577" si="34">IF(M514="товар",$Q$4, IF(M514="м/к",$Q$2,IF(M514="комп",$Q$3,IF(M514="услуга",$Q$5,0))))</f>
        <v>0</v>
      </c>
      <c r="L514" s="28">
        <f t="shared" ref="L514:L577" si="35">(1+K514)*J514</f>
        <v>0</v>
      </c>
    </row>
    <row r="515" spans="8:12" x14ac:dyDescent="0.25">
      <c r="H515" s="27">
        <f t="shared" si="32"/>
        <v>0</v>
      </c>
      <c r="J515" s="28">
        <f t="shared" si="33"/>
        <v>0</v>
      </c>
      <c r="K515" s="29">
        <f t="shared" si="34"/>
        <v>0</v>
      </c>
      <c r="L515" s="28">
        <f t="shared" si="35"/>
        <v>0</v>
      </c>
    </row>
    <row r="516" spans="8:12" x14ac:dyDescent="0.25">
      <c r="H516" s="27">
        <f t="shared" si="32"/>
        <v>0</v>
      </c>
      <c r="J516" s="28">
        <f t="shared" si="33"/>
        <v>0</v>
      </c>
      <c r="K516" s="29">
        <f t="shared" si="34"/>
        <v>0</v>
      </c>
      <c r="L516" s="28">
        <f t="shared" si="35"/>
        <v>0</v>
      </c>
    </row>
    <row r="517" spans="8:12" x14ac:dyDescent="0.25">
      <c r="H517" s="27">
        <f t="shared" si="32"/>
        <v>0</v>
      </c>
      <c r="J517" s="28">
        <f t="shared" si="33"/>
        <v>0</v>
      </c>
      <c r="K517" s="29">
        <f t="shared" si="34"/>
        <v>0</v>
      </c>
      <c r="L517" s="28">
        <f t="shared" si="35"/>
        <v>0</v>
      </c>
    </row>
    <row r="518" spans="8:12" x14ac:dyDescent="0.25">
      <c r="H518" s="27">
        <f t="shared" si="32"/>
        <v>0</v>
      </c>
      <c r="J518" s="28">
        <f t="shared" si="33"/>
        <v>0</v>
      </c>
      <c r="K518" s="29">
        <f t="shared" si="34"/>
        <v>0</v>
      </c>
      <c r="L518" s="28">
        <f t="shared" si="35"/>
        <v>0</v>
      </c>
    </row>
    <row r="519" spans="8:12" x14ac:dyDescent="0.25">
      <c r="H519" s="27">
        <f t="shared" si="32"/>
        <v>0</v>
      </c>
      <c r="J519" s="28">
        <f t="shared" si="33"/>
        <v>0</v>
      </c>
      <c r="K519" s="29">
        <f t="shared" si="34"/>
        <v>0</v>
      </c>
      <c r="L519" s="28">
        <f t="shared" si="35"/>
        <v>0</v>
      </c>
    </row>
    <row r="520" spans="8:12" x14ac:dyDescent="0.25">
      <c r="H520" s="27">
        <f t="shared" si="32"/>
        <v>0</v>
      </c>
      <c r="J520" s="28">
        <f t="shared" si="33"/>
        <v>0</v>
      </c>
      <c r="K520" s="29">
        <f t="shared" si="34"/>
        <v>0</v>
      </c>
      <c r="L520" s="28">
        <f t="shared" si="35"/>
        <v>0</v>
      </c>
    </row>
    <row r="521" spans="8:12" x14ac:dyDescent="0.25">
      <c r="H521" s="27">
        <f t="shared" si="32"/>
        <v>0</v>
      </c>
      <c r="J521" s="28">
        <f t="shared" si="33"/>
        <v>0</v>
      </c>
      <c r="K521" s="29">
        <f t="shared" si="34"/>
        <v>0</v>
      </c>
      <c r="L521" s="28">
        <f t="shared" si="35"/>
        <v>0</v>
      </c>
    </row>
    <row r="522" spans="8:12" x14ac:dyDescent="0.25">
      <c r="H522" s="27">
        <f t="shared" si="32"/>
        <v>0</v>
      </c>
      <c r="J522" s="28">
        <f t="shared" si="33"/>
        <v>0</v>
      </c>
      <c r="K522" s="29">
        <f t="shared" si="34"/>
        <v>0</v>
      </c>
      <c r="L522" s="28">
        <f t="shared" si="35"/>
        <v>0</v>
      </c>
    </row>
    <row r="523" spans="8:12" x14ac:dyDescent="0.25">
      <c r="H523" s="27">
        <f t="shared" si="32"/>
        <v>0</v>
      </c>
      <c r="J523" s="28">
        <f t="shared" si="33"/>
        <v>0</v>
      </c>
      <c r="K523" s="29">
        <f t="shared" si="34"/>
        <v>0</v>
      </c>
      <c r="L523" s="28">
        <f t="shared" si="35"/>
        <v>0</v>
      </c>
    </row>
    <row r="524" spans="8:12" x14ac:dyDescent="0.25">
      <c r="H524" s="27">
        <f t="shared" si="32"/>
        <v>0</v>
      </c>
      <c r="J524" s="28">
        <f t="shared" si="33"/>
        <v>0</v>
      </c>
      <c r="K524" s="29">
        <f t="shared" si="34"/>
        <v>0</v>
      </c>
      <c r="L524" s="28">
        <f t="shared" si="35"/>
        <v>0</v>
      </c>
    </row>
    <row r="525" spans="8:12" x14ac:dyDescent="0.25">
      <c r="H525" s="27">
        <f t="shared" si="32"/>
        <v>0</v>
      </c>
      <c r="J525" s="28">
        <f t="shared" si="33"/>
        <v>0</v>
      </c>
      <c r="K525" s="29">
        <f t="shared" si="34"/>
        <v>0</v>
      </c>
      <c r="L525" s="28">
        <f t="shared" si="35"/>
        <v>0</v>
      </c>
    </row>
    <row r="526" spans="8:12" x14ac:dyDescent="0.25">
      <c r="H526" s="27">
        <f t="shared" si="32"/>
        <v>0</v>
      </c>
      <c r="J526" s="28">
        <f t="shared" si="33"/>
        <v>0</v>
      </c>
      <c r="K526" s="29">
        <f t="shared" si="34"/>
        <v>0</v>
      </c>
      <c r="L526" s="28">
        <f t="shared" si="35"/>
        <v>0</v>
      </c>
    </row>
    <row r="527" spans="8:12" x14ac:dyDescent="0.25">
      <c r="H527" s="27">
        <f t="shared" si="32"/>
        <v>0</v>
      </c>
      <c r="J527" s="28">
        <f t="shared" si="33"/>
        <v>0</v>
      </c>
      <c r="K527" s="29">
        <f t="shared" si="34"/>
        <v>0</v>
      </c>
      <c r="L527" s="28">
        <f t="shared" si="35"/>
        <v>0</v>
      </c>
    </row>
    <row r="528" spans="8:12" x14ac:dyDescent="0.25">
      <c r="H528" s="27">
        <f t="shared" si="32"/>
        <v>0</v>
      </c>
      <c r="J528" s="28">
        <f t="shared" si="33"/>
        <v>0</v>
      </c>
      <c r="K528" s="29">
        <f t="shared" si="34"/>
        <v>0</v>
      </c>
      <c r="L528" s="28">
        <f t="shared" si="35"/>
        <v>0</v>
      </c>
    </row>
    <row r="529" spans="8:12" x14ac:dyDescent="0.25">
      <c r="H529" s="27">
        <f t="shared" si="32"/>
        <v>0</v>
      </c>
      <c r="J529" s="28">
        <f t="shared" si="33"/>
        <v>0</v>
      </c>
      <c r="K529" s="29">
        <f t="shared" si="34"/>
        <v>0</v>
      </c>
      <c r="L529" s="28">
        <f t="shared" si="35"/>
        <v>0</v>
      </c>
    </row>
    <row r="530" spans="8:12" x14ac:dyDescent="0.25">
      <c r="H530" s="27">
        <f t="shared" si="32"/>
        <v>0</v>
      </c>
      <c r="J530" s="28">
        <f t="shared" si="33"/>
        <v>0</v>
      </c>
      <c r="K530" s="29">
        <f t="shared" si="34"/>
        <v>0</v>
      </c>
      <c r="L530" s="28">
        <f t="shared" si="35"/>
        <v>0</v>
      </c>
    </row>
    <row r="531" spans="8:12" x14ac:dyDescent="0.25">
      <c r="H531" s="27">
        <f t="shared" si="32"/>
        <v>0</v>
      </c>
      <c r="J531" s="28">
        <f t="shared" si="33"/>
        <v>0</v>
      </c>
      <c r="K531" s="29">
        <f t="shared" si="34"/>
        <v>0</v>
      </c>
      <c r="L531" s="28">
        <f t="shared" si="35"/>
        <v>0</v>
      </c>
    </row>
    <row r="532" spans="8:12" x14ac:dyDescent="0.25">
      <c r="H532" s="27">
        <f t="shared" si="32"/>
        <v>0</v>
      </c>
      <c r="J532" s="28">
        <f t="shared" si="33"/>
        <v>0</v>
      </c>
      <c r="K532" s="29">
        <f t="shared" si="34"/>
        <v>0</v>
      </c>
      <c r="L532" s="28">
        <f t="shared" si="35"/>
        <v>0</v>
      </c>
    </row>
    <row r="533" spans="8:12" x14ac:dyDescent="0.25">
      <c r="H533" s="27">
        <f t="shared" si="32"/>
        <v>0</v>
      </c>
      <c r="J533" s="28">
        <f t="shared" si="33"/>
        <v>0</v>
      </c>
      <c r="K533" s="29">
        <f t="shared" si="34"/>
        <v>0</v>
      </c>
      <c r="L533" s="28">
        <f t="shared" si="35"/>
        <v>0</v>
      </c>
    </row>
    <row r="534" spans="8:12" x14ac:dyDescent="0.25">
      <c r="H534" s="27">
        <f t="shared" si="32"/>
        <v>0</v>
      </c>
      <c r="J534" s="28">
        <f t="shared" si="33"/>
        <v>0</v>
      </c>
      <c r="K534" s="29">
        <f t="shared" si="34"/>
        <v>0</v>
      </c>
      <c r="L534" s="28">
        <f t="shared" si="35"/>
        <v>0</v>
      </c>
    </row>
    <row r="535" spans="8:12" x14ac:dyDescent="0.25">
      <c r="H535" s="27">
        <f t="shared" si="32"/>
        <v>0</v>
      </c>
      <c r="J535" s="28">
        <f t="shared" si="33"/>
        <v>0</v>
      </c>
      <c r="K535" s="29">
        <f t="shared" si="34"/>
        <v>0</v>
      </c>
      <c r="L535" s="28">
        <f t="shared" si="35"/>
        <v>0</v>
      </c>
    </row>
    <row r="536" spans="8:12" x14ac:dyDescent="0.25">
      <c r="H536" s="27">
        <f t="shared" si="32"/>
        <v>0</v>
      </c>
      <c r="J536" s="28">
        <f t="shared" si="33"/>
        <v>0</v>
      </c>
      <c r="K536" s="29">
        <f t="shared" si="34"/>
        <v>0</v>
      </c>
      <c r="L536" s="28">
        <f t="shared" si="35"/>
        <v>0</v>
      </c>
    </row>
    <row r="537" spans="8:12" x14ac:dyDescent="0.25">
      <c r="H537" s="27">
        <f t="shared" si="32"/>
        <v>0</v>
      </c>
      <c r="J537" s="28">
        <f t="shared" si="33"/>
        <v>0</v>
      </c>
      <c r="K537" s="29">
        <f t="shared" si="34"/>
        <v>0</v>
      </c>
      <c r="L537" s="28">
        <f t="shared" si="35"/>
        <v>0</v>
      </c>
    </row>
    <row r="538" spans="8:12" x14ac:dyDescent="0.25">
      <c r="H538" s="27">
        <f t="shared" si="32"/>
        <v>0</v>
      </c>
      <c r="J538" s="28">
        <f t="shared" si="33"/>
        <v>0</v>
      </c>
      <c r="K538" s="29">
        <f t="shared" si="34"/>
        <v>0</v>
      </c>
      <c r="L538" s="28">
        <f t="shared" si="35"/>
        <v>0</v>
      </c>
    </row>
    <row r="539" spans="8:12" x14ac:dyDescent="0.25">
      <c r="H539" s="27">
        <f t="shared" si="32"/>
        <v>0</v>
      </c>
      <c r="J539" s="28">
        <f t="shared" si="33"/>
        <v>0</v>
      </c>
      <c r="K539" s="29">
        <f t="shared" si="34"/>
        <v>0</v>
      </c>
      <c r="L539" s="28">
        <f t="shared" si="35"/>
        <v>0</v>
      </c>
    </row>
    <row r="540" spans="8:12" x14ac:dyDescent="0.25">
      <c r="H540" s="27">
        <f t="shared" si="32"/>
        <v>0</v>
      </c>
      <c r="J540" s="28">
        <f t="shared" si="33"/>
        <v>0</v>
      </c>
      <c r="K540" s="29">
        <f t="shared" si="34"/>
        <v>0</v>
      </c>
      <c r="L540" s="28">
        <f t="shared" si="35"/>
        <v>0</v>
      </c>
    </row>
    <row r="541" spans="8:12" x14ac:dyDescent="0.25">
      <c r="H541" s="27">
        <f t="shared" si="32"/>
        <v>0</v>
      </c>
      <c r="J541" s="28">
        <f t="shared" si="33"/>
        <v>0</v>
      </c>
      <c r="K541" s="29">
        <f t="shared" si="34"/>
        <v>0</v>
      </c>
      <c r="L541" s="28">
        <f t="shared" si="35"/>
        <v>0</v>
      </c>
    </row>
    <row r="542" spans="8:12" x14ac:dyDescent="0.25">
      <c r="H542" s="27">
        <f t="shared" si="32"/>
        <v>0</v>
      </c>
      <c r="J542" s="28">
        <f t="shared" si="33"/>
        <v>0</v>
      </c>
      <c r="K542" s="29">
        <f t="shared" si="34"/>
        <v>0</v>
      </c>
      <c r="L542" s="28">
        <f t="shared" si="35"/>
        <v>0</v>
      </c>
    </row>
    <row r="543" spans="8:12" x14ac:dyDescent="0.25">
      <c r="H543" s="27">
        <f t="shared" si="32"/>
        <v>0</v>
      </c>
      <c r="J543" s="28">
        <f t="shared" si="33"/>
        <v>0</v>
      </c>
      <c r="K543" s="29">
        <f t="shared" si="34"/>
        <v>0</v>
      </c>
      <c r="L543" s="28">
        <f t="shared" si="35"/>
        <v>0</v>
      </c>
    </row>
    <row r="544" spans="8:12" x14ac:dyDescent="0.25">
      <c r="H544" s="27">
        <f t="shared" si="32"/>
        <v>0</v>
      </c>
      <c r="J544" s="28">
        <f t="shared" si="33"/>
        <v>0</v>
      </c>
      <c r="K544" s="29">
        <f t="shared" si="34"/>
        <v>0</v>
      </c>
      <c r="L544" s="28">
        <f t="shared" si="35"/>
        <v>0</v>
      </c>
    </row>
    <row r="545" spans="8:12" x14ac:dyDescent="0.25">
      <c r="H545" s="27">
        <f t="shared" si="32"/>
        <v>0</v>
      </c>
      <c r="J545" s="28">
        <f t="shared" si="33"/>
        <v>0</v>
      </c>
      <c r="K545" s="29">
        <f t="shared" si="34"/>
        <v>0</v>
      </c>
      <c r="L545" s="28">
        <f t="shared" si="35"/>
        <v>0</v>
      </c>
    </row>
    <row r="546" spans="8:12" x14ac:dyDescent="0.25">
      <c r="H546" s="27">
        <f t="shared" si="32"/>
        <v>0</v>
      </c>
      <c r="J546" s="28">
        <f t="shared" si="33"/>
        <v>0</v>
      </c>
      <c r="K546" s="29">
        <f t="shared" si="34"/>
        <v>0</v>
      </c>
      <c r="L546" s="28">
        <f t="shared" si="35"/>
        <v>0</v>
      </c>
    </row>
    <row r="547" spans="8:12" x14ac:dyDescent="0.25">
      <c r="H547" s="27">
        <f t="shared" si="32"/>
        <v>0</v>
      </c>
      <c r="J547" s="28">
        <f t="shared" si="33"/>
        <v>0</v>
      </c>
      <c r="K547" s="29">
        <f t="shared" si="34"/>
        <v>0</v>
      </c>
      <c r="L547" s="28">
        <f t="shared" si="35"/>
        <v>0</v>
      </c>
    </row>
    <row r="548" spans="8:12" x14ac:dyDescent="0.25">
      <c r="H548" s="27">
        <f t="shared" si="32"/>
        <v>0</v>
      </c>
      <c r="J548" s="28">
        <f t="shared" si="33"/>
        <v>0</v>
      </c>
      <c r="K548" s="29">
        <f t="shared" si="34"/>
        <v>0</v>
      </c>
      <c r="L548" s="28">
        <f t="shared" si="35"/>
        <v>0</v>
      </c>
    </row>
    <row r="549" spans="8:12" x14ac:dyDescent="0.25">
      <c r="H549" s="27">
        <f t="shared" si="32"/>
        <v>0</v>
      </c>
      <c r="J549" s="28">
        <f t="shared" si="33"/>
        <v>0</v>
      </c>
      <c r="K549" s="29">
        <f t="shared" si="34"/>
        <v>0</v>
      </c>
      <c r="L549" s="28">
        <f t="shared" si="35"/>
        <v>0</v>
      </c>
    </row>
    <row r="550" spans="8:12" x14ac:dyDescent="0.25">
      <c r="H550" s="27">
        <f t="shared" si="32"/>
        <v>0</v>
      </c>
      <c r="J550" s="28">
        <f t="shared" si="33"/>
        <v>0</v>
      </c>
      <c r="K550" s="29">
        <f t="shared" si="34"/>
        <v>0</v>
      </c>
      <c r="L550" s="28">
        <f t="shared" si="35"/>
        <v>0</v>
      </c>
    </row>
    <row r="551" spans="8:12" x14ac:dyDescent="0.25">
      <c r="H551" s="27">
        <f t="shared" si="32"/>
        <v>0</v>
      </c>
      <c r="J551" s="28">
        <f t="shared" si="33"/>
        <v>0</v>
      </c>
      <c r="K551" s="29">
        <f t="shared" si="34"/>
        <v>0</v>
      </c>
      <c r="L551" s="28">
        <f t="shared" si="35"/>
        <v>0</v>
      </c>
    </row>
    <row r="552" spans="8:12" x14ac:dyDescent="0.25">
      <c r="H552" s="27">
        <f t="shared" si="32"/>
        <v>0</v>
      </c>
      <c r="J552" s="28">
        <f t="shared" si="33"/>
        <v>0</v>
      </c>
      <c r="K552" s="29">
        <f t="shared" si="34"/>
        <v>0</v>
      </c>
      <c r="L552" s="28">
        <f t="shared" si="35"/>
        <v>0</v>
      </c>
    </row>
    <row r="553" spans="8:12" x14ac:dyDescent="0.25">
      <c r="H553" s="27">
        <f t="shared" si="32"/>
        <v>0</v>
      </c>
      <c r="J553" s="28">
        <f t="shared" si="33"/>
        <v>0</v>
      </c>
      <c r="K553" s="29">
        <f t="shared" si="34"/>
        <v>0</v>
      </c>
      <c r="L553" s="28">
        <f t="shared" si="35"/>
        <v>0</v>
      </c>
    </row>
    <row r="554" spans="8:12" x14ac:dyDescent="0.25">
      <c r="H554" s="27">
        <f t="shared" si="32"/>
        <v>0</v>
      </c>
      <c r="J554" s="28">
        <f t="shared" si="33"/>
        <v>0</v>
      </c>
      <c r="K554" s="29">
        <f t="shared" si="34"/>
        <v>0</v>
      </c>
      <c r="L554" s="28">
        <f t="shared" si="35"/>
        <v>0</v>
      </c>
    </row>
    <row r="555" spans="8:12" x14ac:dyDescent="0.25">
      <c r="H555" s="27">
        <f t="shared" si="32"/>
        <v>0</v>
      </c>
      <c r="J555" s="28">
        <f t="shared" si="33"/>
        <v>0</v>
      </c>
      <c r="K555" s="29">
        <f t="shared" si="34"/>
        <v>0</v>
      </c>
      <c r="L555" s="28">
        <f t="shared" si="35"/>
        <v>0</v>
      </c>
    </row>
    <row r="556" spans="8:12" x14ac:dyDescent="0.25">
      <c r="H556" s="27">
        <f t="shared" si="32"/>
        <v>0</v>
      </c>
      <c r="J556" s="28">
        <f t="shared" si="33"/>
        <v>0</v>
      </c>
      <c r="K556" s="29">
        <f t="shared" si="34"/>
        <v>0</v>
      </c>
      <c r="L556" s="28">
        <f t="shared" si="35"/>
        <v>0</v>
      </c>
    </row>
    <row r="557" spans="8:12" x14ac:dyDescent="0.25">
      <c r="H557" s="27">
        <f t="shared" si="32"/>
        <v>0</v>
      </c>
      <c r="J557" s="28">
        <f t="shared" si="33"/>
        <v>0</v>
      </c>
      <c r="K557" s="29">
        <f t="shared" si="34"/>
        <v>0</v>
      </c>
      <c r="L557" s="28">
        <f t="shared" si="35"/>
        <v>0</v>
      </c>
    </row>
    <row r="558" spans="8:12" x14ac:dyDescent="0.25">
      <c r="H558" s="27">
        <f t="shared" si="32"/>
        <v>0</v>
      </c>
      <c r="J558" s="28">
        <f t="shared" si="33"/>
        <v>0</v>
      </c>
      <c r="K558" s="29">
        <f t="shared" si="34"/>
        <v>0</v>
      </c>
      <c r="L558" s="28">
        <f t="shared" si="35"/>
        <v>0</v>
      </c>
    </row>
    <row r="559" spans="8:12" x14ac:dyDescent="0.25">
      <c r="H559" s="27">
        <f t="shared" si="32"/>
        <v>0</v>
      </c>
      <c r="J559" s="28">
        <f t="shared" si="33"/>
        <v>0</v>
      </c>
      <c r="K559" s="29">
        <f t="shared" si="34"/>
        <v>0</v>
      </c>
      <c r="L559" s="28">
        <f t="shared" si="35"/>
        <v>0</v>
      </c>
    </row>
    <row r="560" spans="8:12" x14ac:dyDescent="0.25">
      <c r="H560" s="27">
        <f t="shared" si="32"/>
        <v>0</v>
      </c>
      <c r="J560" s="28">
        <f t="shared" si="33"/>
        <v>0</v>
      </c>
      <c r="K560" s="29">
        <f t="shared" si="34"/>
        <v>0</v>
      </c>
      <c r="L560" s="28">
        <f t="shared" si="35"/>
        <v>0</v>
      </c>
    </row>
    <row r="561" spans="8:12" x14ac:dyDescent="0.25">
      <c r="H561" s="27">
        <f t="shared" si="32"/>
        <v>0</v>
      </c>
      <c r="J561" s="28">
        <f t="shared" si="33"/>
        <v>0</v>
      </c>
      <c r="K561" s="29">
        <f t="shared" si="34"/>
        <v>0</v>
      </c>
      <c r="L561" s="28">
        <f t="shared" si="35"/>
        <v>0</v>
      </c>
    </row>
    <row r="562" spans="8:12" x14ac:dyDescent="0.25">
      <c r="H562" s="27">
        <f t="shared" si="32"/>
        <v>0</v>
      </c>
      <c r="J562" s="28">
        <f t="shared" si="33"/>
        <v>0</v>
      </c>
      <c r="K562" s="29">
        <f t="shared" si="34"/>
        <v>0</v>
      </c>
      <c r="L562" s="28">
        <f t="shared" si="35"/>
        <v>0</v>
      </c>
    </row>
    <row r="563" spans="8:12" x14ac:dyDescent="0.25">
      <c r="H563" s="27">
        <f t="shared" si="32"/>
        <v>0</v>
      </c>
      <c r="J563" s="28">
        <f t="shared" si="33"/>
        <v>0</v>
      </c>
      <c r="K563" s="29">
        <f t="shared" si="34"/>
        <v>0</v>
      </c>
      <c r="L563" s="28">
        <f t="shared" si="35"/>
        <v>0</v>
      </c>
    </row>
    <row r="564" spans="8:12" x14ac:dyDescent="0.25">
      <c r="H564" s="27">
        <f t="shared" si="32"/>
        <v>0</v>
      </c>
      <c r="J564" s="28">
        <f t="shared" si="33"/>
        <v>0</v>
      </c>
      <c r="K564" s="29">
        <f t="shared" si="34"/>
        <v>0</v>
      </c>
      <c r="L564" s="28">
        <f t="shared" si="35"/>
        <v>0</v>
      </c>
    </row>
    <row r="565" spans="8:12" x14ac:dyDescent="0.25">
      <c r="H565" s="27">
        <f t="shared" si="32"/>
        <v>0</v>
      </c>
      <c r="J565" s="28">
        <f t="shared" si="33"/>
        <v>0</v>
      </c>
      <c r="K565" s="29">
        <f t="shared" si="34"/>
        <v>0</v>
      </c>
      <c r="L565" s="28">
        <f t="shared" si="35"/>
        <v>0</v>
      </c>
    </row>
    <row r="566" spans="8:12" x14ac:dyDescent="0.25">
      <c r="H566" s="27">
        <f t="shared" si="32"/>
        <v>0</v>
      </c>
      <c r="J566" s="28">
        <f t="shared" si="33"/>
        <v>0</v>
      </c>
      <c r="K566" s="29">
        <f t="shared" si="34"/>
        <v>0</v>
      </c>
      <c r="L566" s="28">
        <f t="shared" si="35"/>
        <v>0</v>
      </c>
    </row>
    <row r="567" spans="8:12" x14ac:dyDescent="0.25">
      <c r="H567" s="27">
        <f t="shared" si="32"/>
        <v>0</v>
      </c>
      <c r="J567" s="28">
        <f t="shared" si="33"/>
        <v>0</v>
      </c>
      <c r="K567" s="29">
        <f t="shared" si="34"/>
        <v>0</v>
      </c>
      <c r="L567" s="28">
        <f t="shared" si="35"/>
        <v>0</v>
      </c>
    </row>
    <row r="568" spans="8:12" x14ac:dyDescent="0.25">
      <c r="H568" s="27">
        <f t="shared" si="32"/>
        <v>0</v>
      </c>
      <c r="J568" s="28">
        <f t="shared" si="33"/>
        <v>0</v>
      </c>
      <c r="K568" s="29">
        <f t="shared" si="34"/>
        <v>0</v>
      </c>
      <c r="L568" s="28">
        <f t="shared" si="35"/>
        <v>0</v>
      </c>
    </row>
    <row r="569" spans="8:12" x14ac:dyDescent="0.25">
      <c r="H569" s="27">
        <f t="shared" si="32"/>
        <v>0</v>
      </c>
      <c r="J569" s="28">
        <f t="shared" si="33"/>
        <v>0</v>
      </c>
      <c r="K569" s="29">
        <f t="shared" si="34"/>
        <v>0</v>
      </c>
      <c r="L569" s="28">
        <f t="shared" si="35"/>
        <v>0</v>
      </c>
    </row>
    <row r="570" spans="8:12" x14ac:dyDescent="0.25">
      <c r="H570" s="27">
        <f t="shared" si="32"/>
        <v>0</v>
      </c>
      <c r="J570" s="28">
        <f t="shared" si="33"/>
        <v>0</v>
      </c>
      <c r="K570" s="29">
        <f t="shared" si="34"/>
        <v>0</v>
      </c>
      <c r="L570" s="28">
        <f t="shared" si="35"/>
        <v>0</v>
      </c>
    </row>
    <row r="571" spans="8:12" x14ac:dyDescent="0.25">
      <c r="H571" s="27">
        <f t="shared" si="32"/>
        <v>0</v>
      </c>
      <c r="J571" s="28">
        <f t="shared" si="33"/>
        <v>0</v>
      </c>
      <c r="K571" s="29">
        <f t="shared" si="34"/>
        <v>0</v>
      </c>
      <c r="L571" s="28">
        <f t="shared" si="35"/>
        <v>0</v>
      </c>
    </row>
    <row r="572" spans="8:12" x14ac:dyDescent="0.25">
      <c r="H572" s="27">
        <f t="shared" si="32"/>
        <v>0</v>
      </c>
      <c r="J572" s="28">
        <f t="shared" si="33"/>
        <v>0</v>
      </c>
      <c r="K572" s="29">
        <f t="shared" si="34"/>
        <v>0</v>
      </c>
      <c r="L572" s="28">
        <f t="shared" si="35"/>
        <v>0</v>
      </c>
    </row>
    <row r="573" spans="8:12" x14ac:dyDescent="0.25">
      <c r="H573" s="27">
        <f t="shared" si="32"/>
        <v>0</v>
      </c>
      <c r="J573" s="28">
        <f t="shared" si="33"/>
        <v>0</v>
      </c>
      <c r="K573" s="29">
        <f t="shared" si="34"/>
        <v>0</v>
      </c>
      <c r="L573" s="28">
        <f t="shared" si="35"/>
        <v>0</v>
      </c>
    </row>
    <row r="574" spans="8:12" x14ac:dyDescent="0.25">
      <c r="H574" s="27">
        <f t="shared" si="32"/>
        <v>0</v>
      </c>
      <c r="J574" s="28">
        <f t="shared" si="33"/>
        <v>0</v>
      </c>
      <c r="K574" s="29">
        <f t="shared" si="34"/>
        <v>0</v>
      </c>
      <c r="L574" s="28">
        <f t="shared" si="35"/>
        <v>0</v>
      </c>
    </row>
    <row r="575" spans="8:12" x14ac:dyDescent="0.25">
      <c r="H575" s="27">
        <f t="shared" si="32"/>
        <v>0</v>
      </c>
      <c r="J575" s="28">
        <f t="shared" si="33"/>
        <v>0</v>
      </c>
      <c r="K575" s="29">
        <f t="shared" si="34"/>
        <v>0</v>
      </c>
      <c r="L575" s="28">
        <f t="shared" si="35"/>
        <v>0</v>
      </c>
    </row>
    <row r="576" spans="8:12" x14ac:dyDescent="0.25">
      <c r="H576" s="27">
        <f t="shared" si="32"/>
        <v>0</v>
      </c>
      <c r="J576" s="28">
        <f t="shared" si="33"/>
        <v>0</v>
      </c>
      <c r="K576" s="29">
        <f t="shared" si="34"/>
        <v>0</v>
      </c>
      <c r="L576" s="28">
        <f t="shared" si="35"/>
        <v>0</v>
      </c>
    </row>
    <row r="577" spans="8:12" x14ac:dyDescent="0.25">
      <c r="H577" s="27">
        <f t="shared" si="32"/>
        <v>0</v>
      </c>
      <c r="J577" s="28">
        <f t="shared" si="33"/>
        <v>0</v>
      </c>
      <c r="K577" s="29">
        <f t="shared" si="34"/>
        <v>0</v>
      </c>
      <c r="L577" s="28">
        <f t="shared" si="35"/>
        <v>0</v>
      </c>
    </row>
    <row r="578" spans="8:12" x14ac:dyDescent="0.25">
      <c r="H578" s="27">
        <f t="shared" ref="H578:H641" si="36">E578*F578</f>
        <v>0</v>
      </c>
      <c r="J578" s="28">
        <f t="shared" ref="J578:J641" si="37">I578*H578</f>
        <v>0</v>
      </c>
      <c r="K578" s="29">
        <f t="shared" ref="K578:K641" si="38">IF(M578="товар",$Q$4, IF(M578="м/к",$Q$2,IF(M578="комп",$Q$3,IF(M578="услуга",$Q$5,0))))</f>
        <v>0</v>
      </c>
      <c r="L578" s="28">
        <f t="shared" ref="L578:L641" si="39">(1+K578)*J578</f>
        <v>0</v>
      </c>
    </row>
    <row r="579" spans="8:12" x14ac:dyDescent="0.25">
      <c r="H579" s="27">
        <f t="shared" si="36"/>
        <v>0</v>
      </c>
      <c r="J579" s="28">
        <f t="shared" si="37"/>
        <v>0</v>
      </c>
      <c r="K579" s="29">
        <f t="shared" si="38"/>
        <v>0</v>
      </c>
      <c r="L579" s="28">
        <f t="shared" si="39"/>
        <v>0</v>
      </c>
    </row>
    <row r="580" spans="8:12" x14ac:dyDescent="0.25">
      <c r="H580" s="27">
        <f t="shared" si="36"/>
        <v>0</v>
      </c>
      <c r="J580" s="28">
        <f t="shared" si="37"/>
        <v>0</v>
      </c>
      <c r="K580" s="29">
        <f t="shared" si="38"/>
        <v>0</v>
      </c>
      <c r="L580" s="28">
        <f t="shared" si="39"/>
        <v>0</v>
      </c>
    </row>
    <row r="581" spans="8:12" x14ac:dyDescent="0.25">
      <c r="H581" s="27">
        <f t="shared" si="36"/>
        <v>0</v>
      </c>
      <c r="J581" s="28">
        <f t="shared" si="37"/>
        <v>0</v>
      </c>
      <c r="K581" s="29">
        <f t="shared" si="38"/>
        <v>0</v>
      </c>
      <c r="L581" s="28">
        <f t="shared" si="39"/>
        <v>0</v>
      </c>
    </row>
    <row r="582" spans="8:12" x14ac:dyDescent="0.25">
      <c r="H582" s="27">
        <f t="shared" si="36"/>
        <v>0</v>
      </c>
      <c r="J582" s="28">
        <f t="shared" si="37"/>
        <v>0</v>
      </c>
      <c r="K582" s="29">
        <f t="shared" si="38"/>
        <v>0</v>
      </c>
      <c r="L582" s="28">
        <f t="shared" si="39"/>
        <v>0</v>
      </c>
    </row>
    <row r="583" spans="8:12" x14ac:dyDescent="0.25">
      <c r="H583" s="27">
        <f t="shared" si="36"/>
        <v>0</v>
      </c>
      <c r="J583" s="28">
        <f t="shared" si="37"/>
        <v>0</v>
      </c>
      <c r="K583" s="29">
        <f t="shared" si="38"/>
        <v>0</v>
      </c>
      <c r="L583" s="28">
        <f t="shared" si="39"/>
        <v>0</v>
      </c>
    </row>
    <row r="584" spans="8:12" x14ac:dyDescent="0.25">
      <c r="H584" s="27">
        <f t="shared" si="36"/>
        <v>0</v>
      </c>
      <c r="J584" s="28">
        <f t="shared" si="37"/>
        <v>0</v>
      </c>
      <c r="K584" s="29">
        <f t="shared" si="38"/>
        <v>0</v>
      </c>
      <c r="L584" s="28">
        <f t="shared" si="39"/>
        <v>0</v>
      </c>
    </row>
    <row r="585" spans="8:12" x14ac:dyDescent="0.25">
      <c r="H585" s="27">
        <f t="shared" si="36"/>
        <v>0</v>
      </c>
      <c r="J585" s="28">
        <f t="shared" si="37"/>
        <v>0</v>
      </c>
      <c r="K585" s="29">
        <f t="shared" si="38"/>
        <v>0</v>
      </c>
      <c r="L585" s="28">
        <f t="shared" si="39"/>
        <v>0</v>
      </c>
    </row>
    <row r="586" spans="8:12" x14ac:dyDescent="0.25">
      <c r="H586" s="27">
        <f t="shared" si="36"/>
        <v>0</v>
      </c>
      <c r="J586" s="28">
        <f t="shared" si="37"/>
        <v>0</v>
      </c>
      <c r="K586" s="29">
        <f t="shared" si="38"/>
        <v>0</v>
      </c>
      <c r="L586" s="28">
        <f t="shared" si="39"/>
        <v>0</v>
      </c>
    </row>
    <row r="587" spans="8:12" x14ac:dyDescent="0.25">
      <c r="H587" s="27">
        <f t="shared" si="36"/>
        <v>0</v>
      </c>
      <c r="J587" s="28">
        <f t="shared" si="37"/>
        <v>0</v>
      </c>
      <c r="K587" s="29">
        <f t="shared" si="38"/>
        <v>0</v>
      </c>
      <c r="L587" s="28">
        <f t="shared" si="39"/>
        <v>0</v>
      </c>
    </row>
    <row r="588" spans="8:12" x14ac:dyDescent="0.25">
      <c r="H588" s="27">
        <f t="shared" si="36"/>
        <v>0</v>
      </c>
      <c r="J588" s="28">
        <f t="shared" si="37"/>
        <v>0</v>
      </c>
      <c r="K588" s="29">
        <f t="shared" si="38"/>
        <v>0</v>
      </c>
      <c r="L588" s="28">
        <f t="shared" si="39"/>
        <v>0</v>
      </c>
    </row>
    <row r="589" spans="8:12" x14ac:dyDescent="0.25">
      <c r="H589" s="27">
        <f t="shared" si="36"/>
        <v>0</v>
      </c>
      <c r="J589" s="28">
        <f t="shared" si="37"/>
        <v>0</v>
      </c>
      <c r="K589" s="29">
        <f t="shared" si="38"/>
        <v>0</v>
      </c>
      <c r="L589" s="28">
        <f t="shared" si="39"/>
        <v>0</v>
      </c>
    </row>
    <row r="590" spans="8:12" x14ac:dyDescent="0.25">
      <c r="H590" s="27">
        <f t="shared" si="36"/>
        <v>0</v>
      </c>
      <c r="J590" s="28">
        <f t="shared" si="37"/>
        <v>0</v>
      </c>
      <c r="K590" s="29">
        <f t="shared" si="38"/>
        <v>0</v>
      </c>
      <c r="L590" s="28">
        <f t="shared" si="39"/>
        <v>0</v>
      </c>
    </row>
    <row r="591" spans="8:12" x14ac:dyDescent="0.25">
      <c r="H591" s="27">
        <f t="shared" si="36"/>
        <v>0</v>
      </c>
      <c r="J591" s="28">
        <f t="shared" si="37"/>
        <v>0</v>
      </c>
      <c r="K591" s="29">
        <f t="shared" si="38"/>
        <v>0</v>
      </c>
      <c r="L591" s="28">
        <f t="shared" si="39"/>
        <v>0</v>
      </c>
    </row>
    <row r="592" spans="8:12" x14ac:dyDescent="0.25">
      <c r="H592" s="27">
        <f t="shared" si="36"/>
        <v>0</v>
      </c>
      <c r="J592" s="28">
        <f t="shared" si="37"/>
        <v>0</v>
      </c>
      <c r="K592" s="29">
        <f t="shared" si="38"/>
        <v>0</v>
      </c>
      <c r="L592" s="28">
        <f t="shared" si="39"/>
        <v>0</v>
      </c>
    </row>
    <row r="593" spans="8:12" x14ac:dyDescent="0.25">
      <c r="H593" s="27">
        <f t="shared" si="36"/>
        <v>0</v>
      </c>
      <c r="J593" s="28">
        <f t="shared" si="37"/>
        <v>0</v>
      </c>
      <c r="K593" s="29">
        <f t="shared" si="38"/>
        <v>0</v>
      </c>
      <c r="L593" s="28">
        <f t="shared" si="39"/>
        <v>0</v>
      </c>
    </row>
    <row r="594" spans="8:12" x14ac:dyDescent="0.25">
      <c r="H594" s="27">
        <f t="shared" si="36"/>
        <v>0</v>
      </c>
      <c r="J594" s="28">
        <f t="shared" si="37"/>
        <v>0</v>
      </c>
      <c r="K594" s="29">
        <f t="shared" si="38"/>
        <v>0</v>
      </c>
      <c r="L594" s="28">
        <f t="shared" si="39"/>
        <v>0</v>
      </c>
    </row>
    <row r="595" spans="8:12" x14ac:dyDescent="0.25">
      <c r="H595" s="27">
        <f t="shared" si="36"/>
        <v>0</v>
      </c>
      <c r="J595" s="28">
        <f t="shared" si="37"/>
        <v>0</v>
      </c>
      <c r="K595" s="29">
        <f t="shared" si="38"/>
        <v>0</v>
      </c>
      <c r="L595" s="28">
        <f t="shared" si="39"/>
        <v>0</v>
      </c>
    </row>
    <row r="596" spans="8:12" x14ac:dyDescent="0.25">
      <c r="H596" s="27">
        <f t="shared" si="36"/>
        <v>0</v>
      </c>
      <c r="J596" s="28">
        <f t="shared" si="37"/>
        <v>0</v>
      </c>
      <c r="K596" s="29">
        <f t="shared" si="38"/>
        <v>0</v>
      </c>
      <c r="L596" s="28">
        <f t="shared" si="39"/>
        <v>0</v>
      </c>
    </row>
    <row r="597" spans="8:12" x14ac:dyDescent="0.25">
      <c r="H597" s="27">
        <f t="shared" si="36"/>
        <v>0</v>
      </c>
      <c r="J597" s="28">
        <f t="shared" si="37"/>
        <v>0</v>
      </c>
      <c r="K597" s="29">
        <f t="shared" si="38"/>
        <v>0</v>
      </c>
      <c r="L597" s="28">
        <f t="shared" si="39"/>
        <v>0</v>
      </c>
    </row>
    <row r="598" spans="8:12" x14ac:dyDescent="0.25">
      <c r="H598" s="27">
        <f t="shared" si="36"/>
        <v>0</v>
      </c>
      <c r="J598" s="28">
        <f t="shared" si="37"/>
        <v>0</v>
      </c>
      <c r="K598" s="29">
        <f t="shared" si="38"/>
        <v>0</v>
      </c>
      <c r="L598" s="28">
        <f t="shared" si="39"/>
        <v>0</v>
      </c>
    </row>
    <row r="599" spans="8:12" x14ac:dyDescent="0.25">
      <c r="H599" s="27">
        <f t="shared" si="36"/>
        <v>0</v>
      </c>
      <c r="J599" s="28">
        <f t="shared" si="37"/>
        <v>0</v>
      </c>
      <c r="K599" s="29">
        <f t="shared" si="38"/>
        <v>0</v>
      </c>
      <c r="L599" s="28">
        <f t="shared" si="39"/>
        <v>0</v>
      </c>
    </row>
    <row r="600" spans="8:12" x14ac:dyDescent="0.25">
      <c r="H600" s="27">
        <f t="shared" si="36"/>
        <v>0</v>
      </c>
      <c r="J600" s="28">
        <f t="shared" si="37"/>
        <v>0</v>
      </c>
      <c r="K600" s="29">
        <f t="shared" si="38"/>
        <v>0</v>
      </c>
      <c r="L600" s="28">
        <f t="shared" si="39"/>
        <v>0</v>
      </c>
    </row>
    <row r="601" spans="8:12" x14ac:dyDescent="0.25">
      <c r="H601" s="27">
        <f t="shared" si="36"/>
        <v>0</v>
      </c>
      <c r="J601" s="28">
        <f t="shared" si="37"/>
        <v>0</v>
      </c>
      <c r="K601" s="29">
        <f t="shared" si="38"/>
        <v>0</v>
      </c>
      <c r="L601" s="28">
        <f t="shared" si="39"/>
        <v>0</v>
      </c>
    </row>
    <row r="602" spans="8:12" x14ac:dyDescent="0.25">
      <c r="H602" s="27">
        <f t="shared" si="36"/>
        <v>0</v>
      </c>
      <c r="J602" s="28">
        <f t="shared" si="37"/>
        <v>0</v>
      </c>
      <c r="K602" s="29">
        <f t="shared" si="38"/>
        <v>0</v>
      </c>
      <c r="L602" s="28">
        <f t="shared" si="39"/>
        <v>0</v>
      </c>
    </row>
    <row r="603" spans="8:12" x14ac:dyDescent="0.25">
      <c r="H603" s="27">
        <f t="shared" si="36"/>
        <v>0</v>
      </c>
      <c r="J603" s="28">
        <f t="shared" si="37"/>
        <v>0</v>
      </c>
      <c r="K603" s="29">
        <f t="shared" si="38"/>
        <v>0</v>
      </c>
      <c r="L603" s="28">
        <f t="shared" si="39"/>
        <v>0</v>
      </c>
    </row>
    <row r="604" spans="8:12" x14ac:dyDescent="0.25">
      <c r="H604" s="27">
        <f t="shared" si="36"/>
        <v>0</v>
      </c>
      <c r="J604" s="28">
        <f t="shared" si="37"/>
        <v>0</v>
      </c>
      <c r="K604" s="29">
        <f t="shared" si="38"/>
        <v>0</v>
      </c>
      <c r="L604" s="28">
        <f t="shared" si="39"/>
        <v>0</v>
      </c>
    </row>
    <row r="605" spans="8:12" x14ac:dyDescent="0.25">
      <c r="H605" s="27">
        <f t="shared" si="36"/>
        <v>0</v>
      </c>
      <c r="J605" s="28">
        <f t="shared" si="37"/>
        <v>0</v>
      </c>
      <c r="K605" s="29">
        <f t="shared" si="38"/>
        <v>0</v>
      </c>
      <c r="L605" s="28">
        <f t="shared" si="39"/>
        <v>0</v>
      </c>
    </row>
    <row r="606" spans="8:12" x14ac:dyDescent="0.25">
      <c r="H606" s="27">
        <f t="shared" si="36"/>
        <v>0</v>
      </c>
      <c r="J606" s="28">
        <f t="shared" si="37"/>
        <v>0</v>
      </c>
      <c r="K606" s="29">
        <f t="shared" si="38"/>
        <v>0</v>
      </c>
      <c r="L606" s="28">
        <f t="shared" si="39"/>
        <v>0</v>
      </c>
    </row>
    <row r="607" spans="8:12" x14ac:dyDescent="0.25">
      <c r="H607" s="27">
        <f t="shared" si="36"/>
        <v>0</v>
      </c>
      <c r="J607" s="28">
        <f t="shared" si="37"/>
        <v>0</v>
      </c>
      <c r="K607" s="29">
        <f t="shared" si="38"/>
        <v>0</v>
      </c>
      <c r="L607" s="28">
        <f t="shared" si="39"/>
        <v>0</v>
      </c>
    </row>
    <row r="608" spans="8:12" x14ac:dyDescent="0.25">
      <c r="H608" s="27">
        <f t="shared" si="36"/>
        <v>0</v>
      </c>
      <c r="J608" s="28">
        <f t="shared" si="37"/>
        <v>0</v>
      </c>
      <c r="K608" s="29">
        <f t="shared" si="38"/>
        <v>0</v>
      </c>
      <c r="L608" s="28">
        <f t="shared" si="39"/>
        <v>0</v>
      </c>
    </row>
    <row r="609" spans="8:12" x14ac:dyDescent="0.25">
      <c r="H609" s="27">
        <f t="shared" si="36"/>
        <v>0</v>
      </c>
      <c r="J609" s="28">
        <f t="shared" si="37"/>
        <v>0</v>
      </c>
      <c r="K609" s="29">
        <f t="shared" si="38"/>
        <v>0</v>
      </c>
      <c r="L609" s="28">
        <f t="shared" si="39"/>
        <v>0</v>
      </c>
    </row>
    <row r="610" spans="8:12" x14ac:dyDescent="0.25">
      <c r="H610" s="27">
        <f t="shared" si="36"/>
        <v>0</v>
      </c>
      <c r="J610" s="28">
        <f t="shared" si="37"/>
        <v>0</v>
      </c>
      <c r="K610" s="29">
        <f t="shared" si="38"/>
        <v>0</v>
      </c>
      <c r="L610" s="28">
        <f t="shared" si="39"/>
        <v>0</v>
      </c>
    </row>
    <row r="611" spans="8:12" x14ac:dyDescent="0.25">
      <c r="H611" s="27">
        <f t="shared" si="36"/>
        <v>0</v>
      </c>
      <c r="J611" s="28">
        <f t="shared" si="37"/>
        <v>0</v>
      </c>
      <c r="K611" s="29">
        <f t="shared" si="38"/>
        <v>0</v>
      </c>
      <c r="L611" s="28">
        <f t="shared" si="39"/>
        <v>0</v>
      </c>
    </row>
    <row r="612" spans="8:12" x14ac:dyDescent="0.25">
      <c r="H612" s="27">
        <f t="shared" si="36"/>
        <v>0</v>
      </c>
      <c r="J612" s="28">
        <f t="shared" si="37"/>
        <v>0</v>
      </c>
      <c r="K612" s="29">
        <f t="shared" si="38"/>
        <v>0</v>
      </c>
      <c r="L612" s="28">
        <f t="shared" si="39"/>
        <v>0</v>
      </c>
    </row>
    <row r="613" spans="8:12" x14ac:dyDescent="0.25">
      <c r="H613" s="27">
        <f t="shared" si="36"/>
        <v>0</v>
      </c>
      <c r="J613" s="28">
        <f t="shared" si="37"/>
        <v>0</v>
      </c>
      <c r="K613" s="29">
        <f t="shared" si="38"/>
        <v>0</v>
      </c>
      <c r="L613" s="28">
        <f t="shared" si="39"/>
        <v>0</v>
      </c>
    </row>
    <row r="614" spans="8:12" x14ac:dyDescent="0.25">
      <c r="H614" s="27">
        <f t="shared" si="36"/>
        <v>0</v>
      </c>
      <c r="J614" s="28">
        <f t="shared" si="37"/>
        <v>0</v>
      </c>
      <c r="K614" s="29">
        <f t="shared" si="38"/>
        <v>0</v>
      </c>
      <c r="L614" s="28">
        <f t="shared" si="39"/>
        <v>0</v>
      </c>
    </row>
    <row r="615" spans="8:12" x14ac:dyDescent="0.25">
      <c r="H615" s="27">
        <f t="shared" si="36"/>
        <v>0</v>
      </c>
      <c r="J615" s="28">
        <f t="shared" si="37"/>
        <v>0</v>
      </c>
      <c r="K615" s="29">
        <f t="shared" si="38"/>
        <v>0</v>
      </c>
      <c r="L615" s="28">
        <f t="shared" si="39"/>
        <v>0</v>
      </c>
    </row>
    <row r="616" spans="8:12" x14ac:dyDescent="0.25">
      <c r="H616" s="27">
        <f t="shared" si="36"/>
        <v>0</v>
      </c>
      <c r="J616" s="28">
        <f t="shared" si="37"/>
        <v>0</v>
      </c>
      <c r="K616" s="29">
        <f t="shared" si="38"/>
        <v>0</v>
      </c>
      <c r="L616" s="28">
        <f t="shared" si="39"/>
        <v>0</v>
      </c>
    </row>
    <row r="617" spans="8:12" x14ac:dyDescent="0.25">
      <c r="H617" s="27">
        <f t="shared" si="36"/>
        <v>0</v>
      </c>
      <c r="J617" s="28">
        <f t="shared" si="37"/>
        <v>0</v>
      </c>
      <c r="K617" s="29">
        <f t="shared" si="38"/>
        <v>0</v>
      </c>
      <c r="L617" s="28">
        <f t="shared" si="39"/>
        <v>0</v>
      </c>
    </row>
    <row r="618" spans="8:12" x14ac:dyDescent="0.25">
      <c r="H618" s="27">
        <f t="shared" si="36"/>
        <v>0</v>
      </c>
      <c r="J618" s="28">
        <f t="shared" si="37"/>
        <v>0</v>
      </c>
      <c r="K618" s="29">
        <f t="shared" si="38"/>
        <v>0</v>
      </c>
      <c r="L618" s="28">
        <f t="shared" si="39"/>
        <v>0</v>
      </c>
    </row>
    <row r="619" spans="8:12" x14ac:dyDescent="0.25">
      <c r="H619" s="27">
        <f t="shared" si="36"/>
        <v>0</v>
      </c>
      <c r="J619" s="28">
        <f t="shared" si="37"/>
        <v>0</v>
      </c>
      <c r="K619" s="29">
        <f t="shared" si="38"/>
        <v>0</v>
      </c>
      <c r="L619" s="28">
        <f t="shared" si="39"/>
        <v>0</v>
      </c>
    </row>
    <row r="620" spans="8:12" x14ac:dyDescent="0.25">
      <c r="H620" s="27">
        <f t="shared" si="36"/>
        <v>0</v>
      </c>
      <c r="J620" s="28">
        <f t="shared" si="37"/>
        <v>0</v>
      </c>
      <c r="K620" s="29">
        <f t="shared" si="38"/>
        <v>0</v>
      </c>
      <c r="L620" s="28">
        <f t="shared" si="39"/>
        <v>0</v>
      </c>
    </row>
    <row r="621" spans="8:12" x14ac:dyDescent="0.25">
      <c r="H621" s="27">
        <f t="shared" si="36"/>
        <v>0</v>
      </c>
      <c r="J621" s="28">
        <f t="shared" si="37"/>
        <v>0</v>
      </c>
      <c r="K621" s="29">
        <f t="shared" si="38"/>
        <v>0</v>
      </c>
      <c r="L621" s="28">
        <f t="shared" si="39"/>
        <v>0</v>
      </c>
    </row>
    <row r="622" spans="8:12" x14ac:dyDescent="0.25">
      <c r="H622" s="27">
        <f t="shared" si="36"/>
        <v>0</v>
      </c>
      <c r="J622" s="28">
        <f t="shared" si="37"/>
        <v>0</v>
      </c>
      <c r="K622" s="29">
        <f t="shared" si="38"/>
        <v>0</v>
      </c>
      <c r="L622" s="28">
        <f t="shared" si="39"/>
        <v>0</v>
      </c>
    </row>
    <row r="623" spans="8:12" x14ac:dyDescent="0.25">
      <c r="H623" s="27">
        <f t="shared" si="36"/>
        <v>0</v>
      </c>
      <c r="J623" s="28">
        <f t="shared" si="37"/>
        <v>0</v>
      </c>
      <c r="K623" s="29">
        <f t="shared" si="38"/>
        <v>0</v>
      </c>
      <c r="L623" s="28">
        <f t="shared" si="39"/>
        <v>0</v>
      </c>
    </row>
    <row r="624" spans="8:12" x14ac:dyDescent="0.25">
      <c r="H624" s="27">
        <f t="shared" si="36"/>
        <v>0</v>
      </c>
      <c r="J624" s="28">
        <f t="shared" si="37"/>
        <v>0</v>
      </c>
      <c r="K624" s="29">
        <f t="shared" si="38"/>
        <v>0</v>
      </c>
      <c r="L624" s="28">
        <f t="shared" si="39"/>
        <v>0</v>
      </c>
    </row>
    <row r="625" spans="8:12" x14ac:dyDescent="0.25">
      <c r="H625" s="27">
        <f t="shared" si="36"/>
        <v>0</v>
      </c>
      <c r="J625" s="28">
        <f t="shared" si="37"/>
        <v>0</v>
      </c>
      <c r="K625" s="29">
        <f t="shared" si="38"/>
        <v>0</v>
      </c>
      <c r="L625" s="28">
        <f t="shared" si="39"/>
        <v>0</v>
      </c>
    </row>
    <row r="626" spans="8:12" x14ac:dyDescent="0.25">
      <c r="H626" s="27">
        <f t="shared" si="36"/>
        <v>0</v>
      </c>
      <c r="J626" s="28">
        <f t="shared" si="37"/>
        <v>0</v>
      </c>
      <c r="K626" s="29">
        <f t="shared" si="38"/>
        <v>0</v>
      </c>
      <c r="L626" s="28">
        <f t="shared" si="39"/>
        <v>0</v>
      </c>
    </row>
    <row r="627" spans="8:12" x14ac:dyDescent="0.25">
      <c r="H627" s="27">
        <f t="shared" si="36"/>
        <v>0</v>
      </c>
      <c r="J627" s="28">
        <f t="shared" si="37"/>
        <v>0</v>
      </c>
      <c r="K627" s="29">
        <f t="shared" si="38"/>
        <v>0</v>
      </c>
      <c r="L627" s="28">
        <f t="shared" si="39"/>
        <v>0</v>
      </c>
    </row>
    <row r="628" spans="8:12" x14ac:dyDescent="0.25">
      <c r="H628" s="27">
        <f t="shared" si="36"/>
        <v>0</v>
      </c>
      <c r="J628" s="28">
        <f t="shared" si="37"/>
        <v>0</v>
      </c>
      <c r="K628" s="29">
        <f t="shared" si="38"/>
        <v>0</v>
      </c>
      <c r="L628" s="28">
        <f t="shared" si="39"/>
        <v>0</v>
      </c>
    </row>
    <row r="629" spans="8:12" x14ac:dyDescent="0.25">
      <c r="H629" s="27">
        <f t="shared" si="36"/>
        <v>0</v>
      </c>
      <c r="J629" s="28">
        <f t="shared" si="37"/>
        <v>0</v>
      </c>
      <c r="K629" s="29">
        <f t="shared" si="38"/>
        <v>0</v>
      </c>
      <c r="L629" s="28">
        <f t="shared" si="39"/>
        <v>0</v>
      </c>
    </row>
    <row r="630" spans="8:12" x14ac:dyDescent="0.25">
      <c r="H630" s="27">
        <f t="shared" si="36"/>
        <v>0</v>
      </c>
      <c r="J630" s="28">
        <f t="shared" si="37"/>
        <v>0</v>
      </c>
      <c r="K630" s="29">
        <f t="shared" si="38"/>
        <v>0</v>
      </c>
      <c r="L630" s="28">
        <f t="shared" si="39"/>
        <v>0</v>
      </c>
    </row>
    <row r="631" spans="8:12" x14ac:dyDescent="0.25">
      <c r="H631" s="27">
        <f t="shared" si="36"/>
        <v>0</v>
      </c>
      <c r="J631" s="28">
        <f t="shared" si="37"/>
        <v>0</v>
      </c>
      <c r="K631" s="29">
        <f t="shared" si="38"/>
        <v>0</v>
      </c>
      <c r="L631" s="28">
        <f t="shared" si="39"/>
        <v>0</v>
      </c>
    </row>
    <row r="632" spans="8:12" x14ac:dyDescent="0.25">
      <c r="H632" s="27">
        <f t="shared" si="36"/>
        <v>0</v>
      </c>
      <c r="J632" s="28">
        <f t="shared" si="37"/>
        <v>0</v>
      </c>
      <c r="K632" s="29">
        <f t="shared" si="38"/>
        <v>0</v>
      </c>
      <c r="L632" s="28">
        <f t="shared" si="39"/>
        <v>0</v>
      </c>
    </row>
    <row r="633" spans="8:12" x14ac:dyDescent="0.25">
      <c r="H633" s="27">
        <f t="shared" si="36"/>
        <v>0</v>
      </c>
      <c r="J633" s="28">
        <f t="shared" si="37"/>
        <v>0</v>
      </c>
      <c r="K633" s="29">
        <f t="shared" si="38"/>
        <v>0</v>
      </c>
      <c r="L633" s="28">
        <f t="shared" si="39"/>
        <v>0</v>
      </c>
    </row>
    <row r="634" spans="8:12" x14ac:dyDescent="0.25">
      <c r="H634" s="27">
        <f t="shared" si="36"/>
        <v>0</v>
      </c>
      <c r="J634" s="28">
        <f t="shared" si="37"/>
        <v>0</v>
      </c>
      <c r="K634" s="29">
        <f t="shared" si="38"/>
        <v>0</v>
      </c>
      <c r="L634" s="28">
        <f t="shared" si="39"/>
        <v>0</v>
      </c>
    </row>
    <row r="635" spans="8:12" x14ac:dyDescent="0.25">
      <c r="H635" s="27">
        <f t="shared" si="36"/>
        <v>0</v>
      </c>
      <c r="J635" s="28">
        <f t="shared" si="37"/>
        <v>0</v>
      </c>
      <c r="K635" s="29">
        <f t="shared" si="38"/>
        <v>0</v>
      </c>
      <c r="L635" s="28">
        <f t="shared" si="39"/>
        <v>0</v>
      </c>
    </row>
    <row r="636" spans="8:12" x14ac:dyDescent="0.25">
      <c r="H636" s="27">
        <f t="shared" si="36"/>
        <v>0</v>
      </c>
      <c r="J636" s="28">
        <f t="shared" si="37"/>
        <v>0</v>
      </c>
      <c r="K636" s="29">
        <f t="shared" si="38"/>
        <v>0</v>
      </c>
      <c r="L636" s="28">
        <f t="shared" si="39"/>
        <v>0</v>
      </c>
    </row>
    <row r="637" spans="8:12" x14ac:dyDescent="0.25">
      <c r="H637" s="27">
        <f t="shared" si="36"/>
        <v>0</v>
      </c>
      <c r="J637" s="28">
        <f t="shared" si="37"/>
        <v>0</v>
      </c>
      <c r="K637" s="29">
        <f t="shared" si="38"/>
        <v>0</v>
      </c>
      <c r="L637" s="28">
        <f t="shared" si="39"/>
        <v>0</v>
      </c>
    </row>
    <row r="638" spans="8:12" x14ac:dyDescent="0.25">
      <c r="H638" s="27">
        <f t="shared" si="36"/>
        <v>0</v>
      </c>
      <c r="J638" s="28">
        <f t="shared" si="37"/>
        <v>0</v>
      </c>
      <c r="K638" s="29">
        <f t="shared" si="38"/>
        <v>0</v>
      </c>
      <c r="L638" s="28">
        <f t="shared" si="39"/>
        <v>0</v>
      </c>
    </row>
    <row r="639" spans="8:12" x14ac:dyDescent="0.25">
      <c r="H639" s="27">
        <f t="shared" si="36"/>
        <v>0</v>
      </c>
      <c r="J639" s="28">
        <f t="shared" si="37"/>
        <v>0</v>
      </c>
      <c r="K639" s="29">
        <f t="shared" si="38"/>
        <v>0</v>
      </c>
      <c r="L639" s="28">
        <f t="shared" si="39"/>
        <v>0</v>
      </c>
    </row>
    <row r="640" spans="8:12" x14ac:dyDescent="0.25">
      <c r="H640" s="27">
        <f t="shared" si="36"/>
        <v>0</v>
      </c>
      <c r="J640" s="28">
        <f t="shared" si="37"/>
        <v>0</v>
      </c>
      <c r="K640" s="29">
        <f t="shared" si="38"/>
        <v>0</v>
      </c>
      <c r="L640" s="28">
        <f t="shared" si="39"/>
        <v>0</v>
      </c>
    </row>
    <row r="641" spans="8:12" x14ac:dyDescent="0.25">
      <c r="H641" s="27">
        <f t="shared" si="36"/>
        <v>0</v>
      </c>
      <c r="J641" s="28">
        <f t="shared" si="37"/>
        <v>0</v>
      </c>
      <c r="K641" s="29">
        <f t="shared" si="38"/>
        <v>0</v>
      </c>
      <c r="L641" s="28">
        <f t="shared" si="39"/>
        <v>0</v>
      </c>
    </row>
    <row r="642" spans="8:12" x14ac:dyDescent="0.25">
      <c r="H642" s="27">
        <f t="shared" ref="H642:H705" si="40">E642*F642</f>
        <v>0</v>
      </c>
      <c r="J642" s="28">
        <f t="shared" ref="J642:J705" si="41">I642*H642</f>
        <v>0</v>
      </c>
      <c r="K642" s="29">
        <f t="shared" ref="K642:K705" si="42">IF(M642="товар",$Q$4, IF(M642="м/к",$Q$2,IF(M642="комп",$Q$3,IF(M642="услуга",$Q$5,0))))</f>
        <v>0</v>
      </c>
      <c r="L642" s="28">
        <f t="shared" ref="L642:L705" si="43">(1+K642)*J642</f>
        <v>0</v>
      </c>
    </row>
    <row r="643" spans="8:12" x14ac:dyDescent="0.25">
      <c r="H643" s="27">
        <f t="shared" si="40"/>
        <v>0</v>
      </c>
      <c r="J643" s="28">
        <f t="shared" si="41"/>
        <v>0</v>
      </c>
      <c r="K643" s="29">
        <f t="shared" si="42"/>
        <v>0</v>
      </c>
      <c r="L643" s="28">
        <f t="shared" si="43"/>
        <v>0</v>
      </c>
    </row>
    <row r="644" spans="8:12" x14ac:dyDescent="0.25">
      <c r="H644" s="27">
        <f t="shared" si="40"/>
        <v>0</v>
      </c>
      <c r="J644" s="28">
        <f t="shared" si="41"/>
        <v>0</v>
      </c>
      <c r="K644" s="29">
        <f t="shared" si="42"/>
        <v>0</v>
      </c>
      <c r="L644" s="28">
        <f t="shared" si="43"/>
        <v>0</v>
      </c>
    </row>
    <row r="645" spans="8:12" x14ac:dyDescent="0.25">
      <c r="H645" s="27">
        <f t="shared" si="40"/>
        <v>0</v>
      </c>
      <c r="J645" s="28">
        <f t="shared" si="41"/>
        <v>0</v>
      </c>
      <c r="K645" s="29">
        <f t="shared" si="42"/>
        <v>0</v>
      </c>
      <c r="L645" s="28">
        <f t="shared" si="43"/>
        <v>0</v>
      </c>
    </row>
    <row r="646" spans="8:12" x14ac:dyDescent="0.25">
      <c r="H646" s="27">
        <f t="shared" si="40"/>
        <v>0</v>
      </c>
      <c r="J646" s="28">
        <f t="shared" si="41"/>
        <v>0</v>
      </c>
      <c r="K646" s="29">
        <f t="shared" si="42"/>
        <v>0</v>
      </c>
      <c r="L646" s="28">
        <f t="shared" si="43"/>
        <v>0</v>
      </c>
    </row>
    <row r="647" spans="8:12" x14ac:dyDescent="0.25">
      <c r="H647" s="27">
        <f t="shared" si="40"/>
        <v>0</v>
      </c>
      <c r="J647" s="28">
        <f t="shared" si="41"/>
        <v>0</v>
      </c>
      <c r="K647" s="29">
        <f t="shared" si="42"/>
        <v>0</v>
      </c>
      <c r="L647" s="28">
        <f t="shared" si="43"/>
        <v>0</v>
      </c>
    </row>
    <row r="648" spans="8:12" x14ac:dyDescent="0.25">
      <c r="H648" s="27">
        <f t="shared" si="40"/>
        <v>0</v>
      </c>
      <c r="J648" s="28">
        <f t="shared" si="41"/>
        <v>0</v>
      </c>
      <c r="K648" s="29">
        <f t="shared" si="42"/>
        <v>0</v>
      </c>
      <c r="L648" s="28">
        <f t="shared" si="43"/>
        <v>0</v>
      </c>
    </row>
    <row r="649" spans="8:12" x14ac:dyDescent="0.25">
      <c r="H649" s="27">
        <f t="shared" si="40"/>
        <v>0</v>
      </c>
      <c r="J649" s="28">
        <f t="shared" si="41"/>
        <v>0</v>
      </c>
      <c r="K649" s="29">
        <f t="shared" si="42"/>
        <v>0</v>
      </c>
      <c r="L649" s="28">
        <f t="shared" si="43"/>
        <v>0</v>
      </c>
    </row>
    <row r="650" spans="8:12" x14ac:dyDescent="0.25">
      <c r="H650" s="27">
        <f t="shared" si="40"/>
        <v>0</v>
      </c>
      <c r="J650" s="28">
        <f t="shared" si="41"/>
        <v>0</v>
      </c>
      <c r="K650" s="29">
        <f t="shared" si="42"/>
        <v>0</v>
      </c>
      <c r="L650" s="28">
        <f t="shared" si="43"/>
        <v>0</v>
      </c>
    </row>
    <row r="651" spans="8:12" x14ac:dyDescent="0.25">
      <c r="H651" s="27">
        <f t="shared" si="40"/>
        <v>0</v>
      </c>
      <c r="J651" s="28">
        <f t="shared" si="41"/>
        <v>0</v>
      </c>
      <c r="K651" s="29">
        <f t="shared" si="42"/>
        <v>0</v>
      </c>
      <c r="L651" s="28">
        <f t="shared" si="43"/>
        <v>0</v>
      </c>
    </row>
    <row r="652" spans="8:12" x14ac:dyDescent="0.25">
      <c r="H652" s="27">
        <f t="shared" si="40"/>
        <v>0</v>
      </c>
      <c r="J652" s="28">
        <f t="shared" si="41"/>
        <v>0</v>
      </c>
      <c r="K652" s="29">
        <f t="shared" si="42"/>
        <v>0</v>
      </c>
      <c r="L652" s="28">
        <f t="shared" si="43"/>
        <v>0</v>
      </c>
    </row>
    <row r="653" spans="8:12" x14ac:dyDescent="0.25">
      <c r="H653" s="27">
        <f t="shared" si="40"/>
        <v>0</v>
      </c>
      <c r="J653" s="28">
        <f t="shared" si="41"/>
        <v>0</v>
      </c>
      <c r="K653" s="29">
        <f t="shared" si="42"/>
        <v>0</v>
      </c>
      <c r="L653" s="28">
        <f t="shared" si="43"/>
        <v>0</v>
      </c>
    </row>
    <row r="654" spans="8:12" x14ac:dyDescent="0.25">
      <c r="H654" s="27">
        <f t="shared" si="40"/>
        <v>0</v>
      </c>
      <c r="J654" s="28">
        <f t="shared" si="41"/>
        <v>0</v>
      </c>
      <c r="K654" s="29">
        <f t="shared" si="42"/>
        <v>0</v>
      </c>
      <c r="L654" s="28">
        <f t="shared" si="43"/>
        <v>0</v>
      </c>
    </row>
    <row r="655" spans="8:12" x14ac:dyDescent="0.25">
      <c r="H655" s="27">
        <f t="shared" si="40"/>
        <v>0</v>
      </c>
      <c r="J655" s="28">
        <f t="shared" si="41"/>
        <v>0</v>
      </c>
      <c r="K655" s="29">
        <f t="shared" si="42"/>
        <v>0</v>
      </c>
      <c r="L655" s="28">
        <f t="shared" si="43"/>
        <v>0</v>
      </c>
    </row>
    <row r="656" spans="8:12" x14ac:dyDescent="0.25">
      <c r="H656" s="27">
        <f t="shared" si="40"/>
        <v>0</v>
      </c>
      <c r="J656" s="28">
        <f t="shared" si="41"/>
        <v>0</v>
      </c>
      <c r="K656" s="29">
        <f t="shared" si="42"/>
        <v>0</v>
      </c>
      <c r="L656" s="28">
        <f t="shared" si="43"/>
        <v>0</v>
      </c>
    </row>
    <row r="657" spans="8:12" x14ac:dyDescent="0.25">
      <c r="H657" s="27">
        <f t="shared" si="40"/>
        <v>0</v>
      </c>
      <c r="J657" s="28">
        <f t="shared" si="41"/>
        <v>0</v>
      </c>
      <c r="K657" s="29">
        <f t="shared" si="42"/>
        <v>0</v>
      </c>
      <c r="L657" s="28">
        <f t="shared" si="43"/>
        <v>0</v>
      </c>
    </row>
    <row r="658" spans="8:12" x14ac:dyDescent="0.25">
      <c r="H658" s="27">
        <f t="shared" si="40"/>
        <v>0</v>
      </c>
      <c r="J658" s="28">
        <f t="shared" si="41"/>
        <v>0</v>
      </c>
      <c r="K658" s="29">
        <f t="shared" si="42"/>
        <v>0</v>
      </c>
      <c r="L658" s="28">
        <f t="shared" si="43"/>
        <v>0</v>
      </c>
    </row>
    <row r="659" spans="8:12" x14ac:dyDescent="0.25">
      <c r="H659" s="27">
        <f t="shared" si="40"/>
        <v>0</v>
      </c>
      <c r="J659" s="28">
        <f t="shared" si="41"/>
        <v>0</v>
      </c>
      <c r="K659" s="29">
        <f t="shared" si="42"/>
        <v>0</v>
      </c>
      <c r="L659" s="28">
        <f t="shared" si="43"/>
        <v>0</v>
      </c>
    </row>
    <row r="660" spans="8:12" x14ac:dyDescent="0.25">
      <c r="H660" s="27">
        <f t="shared" si="40"/>
        <v>0</v>
      </c>
      <c r="J660" s="28">
        <f t="shared" si="41"/>
        <v>0</v>
      </c>
      <c r="K660" s="29">
        <f t="shared" si="42"/>
        <v>0</v>
      </c>
      <c r="L660" s="28">
        <f t="shared" si="43"/>
        <v>0</v>
      </c>
    </row>
    <row r="661" spans="8:12" x14ac:dyDescent="0.25">
      <c r="H661" s="27">
        <f t="shared" si="40"/>
        <v>0</v>
      </c>
      <c r="J661" s="28">
        <f t="shared" si="41"/>
        <v>0</v>
      </c>
      <c r="K661" s="29">
        <f t="shared" si="42"/>
        <v>0</v>
      </c>
      <c r="L661" s="28">
        <f t="shared" si="43"/>
        <v>0</v>
      </c>
    </row>
    <row r="662" spans="8:12" x14ac:dyDescent="0.25">
      <c r="H662" s="27">
        <f t="shared" si="40"/>
        <v>0</v>
      </c>
      <c r="J662" s="28">
        <f t="shared" si="41"/>
        <v>0</v>
      </c>
      <c r="K662" s="29">
        <f t="shared" si="42"/>
        <v>0</v>
      </c>
      <c r="L662" s="28">
        <f t="shared" si="43"/>
        <v>0</v>
      </c>
    </row>
    <row r="663" spans="8:12" x14ac:dyDescent="0.25">
      <c r="H663" s="27">
        <f t="shared" si="40"/>
        <v>0</v>
      </c>
      <c r="J663" s="28">
        <f t="shared" si="41"/>
        <v>0</v>
      </c>
      <c r="K663" s="29">
        <f t="shared" si="42"/>
        <v>0</v>
      </c>
      <c r="L663" s="28">
        <f t="shared" si="43"/>
        <v>0</v>
      </c>
    </row>
    <row r="664" spans="8:12" x14ac:dyDescent="0.25">
      <c r="H664" s="27">
        <f t="shared" si="40"/>
        <v>0</v>
      </c>
      <c r="J664" s="28">
        <f t="shared" si="41"/>
        <v>0</v>
      </c>
      <c r="K664" s="29">
        <f t="shared" si="42"/>
        <v>0</v>
      </c>
      <c r="L664" s="28">
        <f t="shared" si="43"/>
        <v>0</v>
      </c>
    </row>
    <row r="665" spans="8:12" x14ac:dyDescent="0.25">
      <c r="H665" s="27">
        <f t="shared" si="40"/>
        <v>0</v>
      </c>
      <c r="J665" s="28">
        <f t="shared" si="41"/>
        <v>0</v>
      </c>
      <c r="K665" s="29">
        <f t="shared" si="42"/>
        <v>0</v>
      </c>
      <c r="L665" s="28">
        <f t="shared" si="43"/>
        <v>0</v>
      </c>
    </row>
    <row r="666" spans="8:12" x14ac:dyDescent="0.25">
      <c r="H666" s="27">
        <f t="shared" si="40"/>
        <v>0</v>
      </c>
      <c r="J666" s="28">
        <f t="shared" si="41"/>
        <v>0</v>
      </c>
      <c r="K666" s="29">
        <f t="shared" si="42"/>
        <v>0</v>
      </c>
      <c r="L666" s="28">
        <f t="shared" si="43"/>
        <v>0</v>
      </c>
    </row>
    <row r="667" spans="8:12" x14ac:dyDescent="0.25">
      <c r="H667" s="27">
        <f t="shared" si="40"/>
        <v>0</v>
      </c>
      <c r="J667" s="28">
        <f t="shared" si="41"/>
        <v>0</v>
      </c>
      <c r="K667" s="29">
        <f t="shared" si="42"/>
        <v>0</v>
      </c>
      <c r="L667" s="28">
        <f t="shared" si="43"/>
        <v>0</v>
      </c>
    </row>
    <row r="668" spans="8:12" x14ac:dyDescent="0.25">
      <c r="H668" s="27">
        <f t="shared" si="40"/>
        <v>0</v>
      </c>
      <c r="J668" s="28">
        <f t="shared" si="41"/>
        <v>0</v>
      </c>
      <c r="K668" s="29">
        <f t="shared" si="42"/>
        <v>0</v>
      </c>
      <c r="L668" s="28">
        <f t="shared" si="43"/>
        <v>0</v>
      </c>
    </row>
    <row r="669" spans="8:12" x14ac:dyDescent="0.25">
      <c r="H669" s="27">
        <f t="shared" si="40"/>
        <v>0</v>
      </c>
      <c r="J669" s="28">
        <f t="shared" si="41"/>
        <v>0</v>
      </c>
      <c r="K669" s="29">
        <f t="shared" si="42"/>
        <v>0</v>
      </c>
      <c r="L669" s="28">
        <f t="shared" si="43"/>
        <v>0</v>
      </c>
    </row>
    <row r="670" spans="8:12" x14ac:dyDescent="0.25">
      <c r="H670" s="27">
        <f t="shared" si="40"/>
        <v>0</v>
      </c>
      <c r="J670" s="28">
        <f t="shared" si="41"/>
        <v>0</v>
      </c>
      <c r="K670" s="29">
        <f t="shared" si="42"/>
        <v>0</v>
      </c>
      <c r="L670" s="28">
        <f t="shared" si="43"/>
        <v>0</v>
      </c>
    </row>
    <row r="671" spans="8:12" x14ac:dyDescent="0.25">
      <c r="H671" s="27">
        <f t="shared" si="40"/>
        <v>0</v>
      </c>
      <c r="J671" s="28">
        <f t="shared" si="41"/>
        <v>0</v>
      </c>
      <c r="K671" s="29">
        <f t="shared" si="42"/>
        <v>0</v>
      </c>
      <c r="L671" s="28">
        <f t="shared" si="43"/>
        <v>0</v>
      </c>
    </row>
    <row r="672" spans="8:12" x14ac:dyDescent="0.25">
      <c r="H672" s="27">
        <f t="shared" si="40"/>
        <v>0</v>
      </c>
      <c r="J672" s="28">
        <f t="shared" si="41"/>
        <v>0</v>
      </c>
      <c r="K672" s="29">
        <f t="shared" si="42"/>
        <v>0</v>
      </c>
      <c r="L672" s="28">
        <f t="shared" si="43"/>
        <v>0</v>
      </c>
    </row>
    <row r="673" spans="8:12" x14ac:dyDescent="0.25">
      <c r="H673" s="27">
        <f t="shared" si="40"/>
        <v>0</v>
      </c>
      <c r="J673" s="28">
        <f t="shared" si="41"/>
        <v>0</v>
      </c>
      <c r="K673" s="29">
        <f t="shared" si="42"/>
        <v>0</v>
      </c>
      <c r="L673" s="28">
        <f t="shared" si="43"/>
        <v>0</v>
      </c>
    </row>
    <row r="674" spans="8:12" x14ac:dyDescent="0.25">
      <c r="H674" s="27">
        <f t="shared" si="40"/>
        <v>0</v>
      </c>
      <c r="J674" s="28">
        <f t="shared" si="41"/>
        <v>0</v>
      </c>
      <c r="K674" s="29">
        <f t="shared" si="42"/>
        <v>0</v>
      </c>
      <c r="L674" s="28">
        <f t="shared" si="43"/>
        <v>0</v>
      </c>
    </row>
    <row r="675" spans="8:12" x14ac:dyDescent="0.25">
      <c r="H675" s="27">
        <f t="shared" si="40"/>
        <v>0</v>
      </c>
      <c r="J675" s="28">
        <f t="shared" si="41"/>
        <v>0</v>
      </c>
      <c r="K675" s="29">
        <f t="shared" si="42"/>
        <v>0</v>
      </c>
      <c r="L675" s="28">
        <f t="shared" si="43"/>
        <v>0</v>
      </c>
    </row>
    <row r="676" spans="8:12" x14ac:dyDescent="0.25">
      <c r="H676" s="27">
        <f t="shared" si="40"/>
        <v>0</v>
      </c>
      <c r="J676" s="28">
        <f t="shared" si="41"/>
        <v>0</v>
      </c>
      <c r="K676" s="29">
        <f t="shared" si="42"/>
        <v>0</v>
      </c>
      <c r="L676" s="28">
        <f t="shared" si="43"/>
        <v>0</v>
      </c>
    </row>
    <row r="677" spans="8:12" x14ac:dyDescent="0.25">
      <c r="H677" s="27">
        <f t="shared" si="40"/>
        <v>0</v>
      </c>
      <c r="J677" s="28">
        <f t="shared" si="41"/>
        <v>0</v>
      </c>
      <c r="K677" s="29">
        <f t="shared" si="42"/>
        <v>0</v>
      </c>
      <c r="L677" s="28">
        <f t="shared" si="43"/>
        <v>0</v>
      </c>
    </row>
    <row r="678" spans="8:12" x14ac:dyDescent="0.25">
      <c r="H678" s="27">
        <f t="shared" si="40"/>
        <v>0</v>
      </c>
      <c r="J678" s="28">
        <f t="shared" si="41"/>
        <v>0</v>
      </c>
      <c r="K678" s="29">
        <f t="shared" si="42"/>
        <v>0</v>
      </c>
      <c r="L678" s="28">
        <f t="shared" si="43"/>
        <v>0</v>
      </c>
    </row>
    <row r="679" spans="8:12" x14ac:dyDescent="0.25">
      <c r="H679" s="27">
        <f t="shared" si="40"/>
        <v>0</v>
      </c>
      <c r="J679" s="28">
        <f t="shared" si="41"/>
        <v>0</v>
      </c>
      <c r="K679" s="29">
        <f t="shared" si="42"/>
        <v>0</v>
      </c>
      <c r="L679" s="28">
        <f t="shared" si="43"/>
        <v>0</v>
      </c>
    </row>
    <row r="680" spans="8:12" x14ac:dyDescent="0.25">
      <c r="H680" s="27">
        <f t="shared" si="40"/>
        <v>0</v>
      </c>
      <c r="J680" s="28">
        <f t="shared" si="41"/>
        <v>0</v>
      </c>
      <c r="K680" s="29">
        <f t="shared" si="42"/>
        <v>0</v>
      </c>
      <c r="L680" s="28">
        <f t="shared" si="43"/>
        <v>0</v>
      </c>
    </row>
    <row r="681" spans="8:12" x14ac:dyDescent="0.25">
      <c r="H681" s="27">
        <f t="shared" si="40"/>
        <v>0</v>
      </c>
      <c r="J681" s="28">
        <f t="shared" si="41"/>
        <v>0</v>
      </c>
      <c r="K681" s="29">
        <f t="shared" si="42"/>
        <v>0</v>
      </c>
      <c r="L681" s="28">
        <f t="shared" si="43"/>
        <v>0</v>
      </c>
    </row>
    <row r="682" spans="8:12" x14ac:dyDescent="0.25">
      <c r="H682" s="27">
        <f t="shared" si="40"/>
        <v>0</v>
      </c>
      <c r="J682" s="28">
        <f t="shared" si="41"/>
        <v>0</v>
      </c>
      <c r="K682" s="29">
        <f t="shared" si="42"/>
        <v>0</v>
      </c>
      <c r="L682" s="28">
        <f t="shared" si="43"/>
        <v>0</v>
      </c>
    </row>
    <row r="683" spans="8:12" x14ac:dyDescent="0.25">
      <c r="H683" s="27">
        <f t="shared" si="40"/>
        <v>0</v>
      </c>
      <c r="J683" s="28">
        <f t="shared" si="41"/>
        <v>0</v>
      </c>
      <c r="K683" s="29">
        <f t="shared" si="42"/>
        <v>0</v>
      </c>
      <c r="L683" s="28">
        <f t="shared" si="43"/>
        <v>0</v>
      </c>
    </row>
    <row r="684" spans="8:12" x14ac:dyDescent="0.25">
      <c r="H684" s="27">
        <f t="shared" si="40"/>
        <v>0</v>
      </c>
      <c r="J684" s="28">
        <f t="shared" si="41"/>
        <v>0</v>
      </c>
      <c r="K684" s="29">
        <f t="shared" si="42"/>
        <v>0</v>
      </c>
      <c r="L684" s="28">
        <f t="shared" si="43"/>
        <v>0</v>
      </c>
    </row>
    <row r="685" spans="8:12" x14ac:dyDescent="0.25">
      <c r="H685" s="27">
        <f t="shared" si="40"/>
        <v>0</v>
      </c>
      <c r="J685" s="28">
        <f t="shared" si="41"/>
        <v>0</v>
      </c>
      <c r="K685" s="29">
        <f t="shared" si="42"/>
        <v>0</v>
      </c>
      <c r="L685" s="28">
        <f t="shared" si="43"/>
        <v>0</v>
      </c>
    </row>
    <row r="686" spans="8:12" x14ac:dyDescent="0.25">
      <c r="H686" s="27">
        <f t="shared" si="40"/>
        <v>0</v>
      </c>
      <c r="J686" s="28">
        <f t="shared" si="41"/>
        <v>0</v>
      </c>
      <c r="K686" s="29">
        <f t="shared" si="42"/>
        <v>0</v>
      </c>
      <c r="L686" s="28">
        <f t="shared" si="43"/>
        <v>0</v>
      </c>
    </row>
    <row r="687" spans="8:12" x14ac:dyDescent="0.25">
      <c r="H687" s="27">
        <f t="shared" si="40"/>
        <v>0</v>
      </c>
      <c r="J687" s="28">
        <f t="shared" si="41"/>
        <v>0</v>
      </c>
      <c r="K687" s="29">
        <f t="shared" si="42"/>
        <v>0</v>
      </c>
      <c r="L687" s="28">
        <f t="shared" si="43"/>
        <v>0</v>
      </c>
    </row>
    <row r="688" spans="8:12" x14ac:dyDescent="0.25">
      <c r="H688" s="27">
        <f t="shared" si="40"/>
        <v>0</v>
      </c>
      <c r="J688" s="28">
        <f t="shared" si="41"/>
        <v>0</v>
      </c>
      <c r="K688" s="29">
        <f t="shared" si="42"/>
        <v>0</v>
      </c>
      <c r="L688" s="28">
        <f t="shared" si="43"/>
        <v>0</v>
      </c>
    </row>
    <row r="689" spans="8:12" x14ac:dyDescent="0.25">
      <c r="H689" s="27">
        <f t="shared" si="40"/>
        <v>0</v>
      </c>
      <c r="J689" s="28">
        <f t="shared" si="41"/>
        <v>0</v>
      </c>
      <c r="K689" s="29">
        <f t="shared" si="42"/>
        <v>0</v>
      </c>
      <c r="L689" s="28">
        <f t="shared" si="43"/>
        <v>0</v>
      </c>
    </row>
    <row r="690" spans="8:12" x14ac:dyDescent="0.25">
      <c r="H690" s="27">
        <f t="shared" si="40"/>
        <v>0</v>
      </c>
      <c r="J690" s="28">
        <f t="shared" si="41"/>
        <v>0</v>
      </c>
      <c r="K690" s="29">
        <f t="shared" si="42"/>
        <v>0</v>
      </c>
      <c r="L690" s="28">
        <f t="shared" si="43"/>
        <v>0</v>
      </c>
    </row>
    <row r="691" spans="8:12" x14ac:dyDescent="0.25">
      <c r="H691" s="27">
        <f t="shared" si="40"/>
        <v>0</v>
      </c>
      <c r="J691" s="28">
        <f t="shared" si="41"/>
        <v>0</v>
      </c>
      <c r="K691" s="29">
        <f t="shared" si="42"/>
        <v>0</v>
      </c>
      <c r="L691" s="28">
        <f t="shared" si="43"/>
        <v>0</v>
      </c>
    </row>
    <row r="692" spans="8:12" x14ac:dyDescent="0.25">
      <c r="H692" s="27">
        <f t="shared" si="40"/>
        <v>0</v>
      </c>
      <c r="J692" s="28">
        <f t="shared" si="41"/>
        <v>0</v>
      </c>
      <c r="K692" s="29">
        <f t="shared" si="42"/>
        <v>0</v>
      </c>
      <c r="L692" s="28">
        <f t="shared" si="43"/>
        <v>0</v>
      </c>
    </row>
    <row r="693" spans="8:12" x14ac:dyDescent="0.25">
      <c r="H693" s="27">
        <f t="shared" si="40"/>
        <v>0</v>
      </c>
      <c r="J693" s="28">
        <f t="shared" si="41"/>
        <v>0</v>
      </c>
      <c r="K693" s="29">
        <f t="shared" si="42"/>
        <v>0</v>
      </c>
      <c r="L693" s="28">
        <f t="shared" si="43"/>
        <v>0</v>
      </c>
    </row>
    <row r="694" spans="8:12" x14ac:dyDescent="0.25">
      <c r="H694" s="27">
        <f t="shared" si="40"/>
        <v>0</v>
      </c>
      <c r="J694" s="28">
        <f t="shared" si="41"/>
        <v>0</v>
      </c>
      <c r="K694" s="29">
        <f t="shared" si="42"/>
        <v>0</v>
      </c>
      <c r="L694" s="28">
        <f t="shared" si="43"/>
        <v>0</v>
      </c>
    </row>
    <row r="695" spans="8:12" x14ac:dyDescent="0.25">
      <c r="H695" s="27">
        <f t="shared" si="40"/>
        <v>0</v>
      </c>
      <c r="J695" s="28">
        <f t="shared" si="41"/>
        <v>0</v>
      </c>
      <c r="K695" s="29">
        <f t="shared" si="42"/>
        <v>0</v>
      </c>
      <c r="L695" s="28">
        <f t="shared" si="43"/>
        <v>0</v>
      </c>
    </row>
    <row r="696" spans="8:12" x14ac:dyDescent="0.25">
      <c r="H696" s="27">
        <f t="shared" si="40"/>
        <v>0</v>
      </c>
      <c r="J696" s="28">
        <f t="shared" si="41"/>
        <v>0</v>
      </c>
      <c r="K696" s="29">
        <f t="shared" si="42"/>
        <v>0</v>
      </c>
      <c r="L696" s="28">
        <f t="shared" si="43"/>
        <v>0</v>
      </c>
    </row>
    <row r="697" spans="8:12" x14ac:dyDescent="0.25">
      <c r="H697" s="27">
        <f t="shared" si="40"/>
        <v>0</v>
      </c>
      <c r="J697" s="28">
        <f t="shared" si="41"/>
        <v>0</v>
      </c>
      <c r="K697" s="29">
        <f t="shared" si="42"/>
        <v>0</v>
      </c>
      <c r="L697" s="28">
        <f t="shared" si="43"/>
        <v>0</v>
      </c>
    </row>
    <row r="698" spans="8:12" x14ac:dyDescent="0.25">
      <c r="H698" s="27">
        <f t="shared" si="40"/>
        <v>0</v>
      </c>
      <c r="J698" s="28">
        <f t="shared" si="41"/>
        <v>0</v>
      </c>
      <c r="K698" s="29">
        <f t="shared" si="42"/>
        <v>0</v>
      </c>
      <c r="L698" s="28">
        <f t="shared" si="43"/>
        <v>0</v>
      </c>
    </row>
    <row r="699" spans="8:12" x14ac:dyDescent="0.25">
      <c r="H699" s="27">
        <f t="shared" si="40"/>
        <v>0</v>
      </c>
      <c r="J699" s="28">
        <f t="shared" si="41"/>
        <v>0</v>
      </c>
      <c r="K699" s="29">
        <f t="shared" si="42"/>
        <v>0</v>
      </c>
      <c r="L699" s="28">
        <f t="shared" si="43"/>
        <v>0</v>
      </c>
    </row>
    <row r="700" spans="8:12" x14ac:dyDescent="0.25">
      <c r="H700" s="27">
        <f t="shared" si="40"/>
        <v>0</v>
      </c>
      <c r="J700" s="28">
        <f t="shared" si="41"/>
        <v>0</v>
      </c>
      <c r="K700" s="29">
        <f t="shared" si="42"/>
        <v>0</v>
      </c>
      <c r="L700" s="28">
        <f t="shared" si="43"/>
        <v>0</v>
      </c>
    </row>
    <row r="701" spans="8:12" x14ac:dyDescent="0.25">
      <c r="H701" s="27">
        <f t="shared" si="40"/>
        <v>0</v>
      </c>
      <c r="J701" s="28">
        <f t="shared" si="41"/>
        <v>0</v>
      </c>
      <c r="K701" s="29">
        <f t="shared" si="42"/>
        <v>0</v>
      </c>
      <c r="L701" s="28">
        <f t="shared" si="43"/>
        <v>0</v>
      </c>
    </row>
    <row r="702" spans="8:12" x14ac:dyDescent="0.25">
      <c r="H702" s="27">
        <f t="shared" si="40"/>
        <v>0</v>
      </c>
      <c r="J702" s="28">
        <f t="shared" si="41"/>
        <v>0</v>
      </c>
      <c r="K702" s="29">
        <f t="shared" si="42"/>
        <v>0</v>
      </c>
      <c r="L702" s="28">
        <f t="shared" si="43"/>
        <v>0</v>
      </c>
    </row>
    <row r="703" spans="8:12" x14ac:dyDescent="0.25">
      <c r="H703" s="27">
        <f t="shared" si="40"/>
        <v>0</v>
      </c>
      <c r="J703" s="28">
        <f t="shared" si="41"/>
        <v>0</v>
      </c>
      <c r="K703" s="29">
        <f t="shared" si="42"/>
        <v>0</v>
      </c>
      <c r="L703" s="28">
        <f t="shared" si="43"/>
        <v>0</v>
      </c>
    </row>
    <row r="704" spans="8:12" x14ac:dyDescent="0.25">
      <c r="H704" s="27">
        <f t="shared" si="40"/>
        <v>0</v>
      </c>
      <c r="J704" s="28">
        <f t="shared" si="41"/>
        <v>0</v>
      </c>
      <c r="K704" s="29">
        <f t="shared" si="42"/>
        <v>0</v>
      </c>
      <c r="L704" s="28">
        <f t="shared" si="43"/>
        <v>0</v>
      </c>
    </row>
    <row r="705" spans="8:12" x14ac:dyDescent="0.25">
      <c r="H705" s="27">
        <f t="shared" si="40"/>
        <v>0</v>
      </c>
      <c r="J705" s="28">
        <f t="shared" si="41"/>
        <v>0</v>
      </c>
      <c r="K705" s="29">
        <f t="shared" si="42"/>
        <v>0</v>
      </c>
      <c r="L705" s="28">
        <f t="shared" si="43"/>
        <v>0</v>
      </c>
    </row>
    <row r="706" spans="8:12" x14ac:dyDescent="0.25">
      <c r="H706" s="27">
        <f t="shared" ref="H706:H769" si="44">E706*F706</f>
        <v>0</v>
      </c>
      <c r="J706" s="28">
        <f t="shared" ref="J706:J769" si="45">I706*H706</f>
        <v>0</v>
      </c>
      <c r="K706" s="29">
        <f t="shared" ref="K706:K769" si="46">IF(M706="товар",$Q$4, IF(M706="м/к",$Q$2,IF(M706="комп",$Q$3,IF(M706="услуга",$Q$5,0))))</f>
        <v>0</v>
      </c>
      <c r="L706" s="28">
        <f t="shared" ref="L706:L769" si="47">(1+K706)*J706</f>
        <v>0</v>
      </c>
    </row>
    <row r="707" spans="8:12" x14ac:dyDescent="0.25">
      <c r="H707" s="27">
        <f t="shared" si="44"/>
        <v>0</v>
      </c>
      <c r="J707" s="28">
        <f t="shared" si="45"/>
        <v>0</v>
      </c>
      <c r="K707" s="29">
        <f t="shared" si="46"/>
        <v>0</v>
      </c>
      <c r="L707" s="28">
        <f t="shared" si="47"/>
        <v>0</v>
      </c>
    </row>
    <row r="708" spans="8:12" x14ac:dyDescent="0.25">
      <c r="H708" s="27">
        <f t="shared" si="44"/>
        <v>0</v>
      </c>
      <c r="J708" s="28">
        <f t="shared" si="45"/>
        <v>0</v>
      </c>
      <c r="K708" s="29">
        <f t="shared" si="46"/>
        <v>0</v>
      </c>
      <c r="L708" s="28">
        <f t="shared" si="47"/>
        <v>0</v>
      </c>
    </row>
    <row r="709" spans="8:12" x14ac:dyDescent="0.25">
      <c r="H709" s="27">
        <f t="shared" si="44"/>
        <v>0</v>
      </c>
      <c r="J709" s="28">
        <f t="shared" si="45"/>
        <v>0</v>
      </c>
      <c r="K709" s="29">
        <f t="shared" si="46"/>
        <v>0</v>
      </c>
      <c r="L709" s="28">
        <f t="shared" si="47"/>
        <v>0</v>
      </c>
    </row>
    <row r="710" spans="8:12" x14ac:dyDescent="0.25">
      <c r="H710" s="27">
        <f t="shared" si="44"/>
        <v>0</v>
      </c>
      <c r="J710" s="28">
        <f t="shared" si="45"/>
        <v>0</v>
      </c>
      <c r="K710" s="29">
        <f t="shared" si="46"/>
        <v>0</v>
      </c>
      <c r="L710" s="28">
        <f t="shared" si="47"/>
        <v>0</v>
      </c>
    </row>
    <row r="711" spans="8:12" x14ac:dyDescent="0.25">
      <c r="H711" s="27">
        <f t="shared" si="44"/>
        <v>0</v>
      </c>
      <c r="J711" s="28">
        <f t="shared" si="45"/>
        <v>0</v>
      </c>
      <c r="K711" s="29">
        <f t="shared" si="46"/>
        <v>0</v>
      </c>
      <c r="L711" s="28">
        <f t="shared" si="47"/>
        <v>0</v>
      </c>
    </row>
    <row r="712" spans="8:12" x14ac:dyDescent="0.25">
      <c r="H712" s="27">
        <f t="shared" si="44"/>
        <v>0</v>
      </c>
      <c r="J712" s="28">
        <f t="shared" si="45"/>
        <v>0</v>
      </c>
      <c r="K712" s="29">
        <f t="shared" si="46"/>
        <v>0</v>
      </c>
      <c r="L712" s="28">
        <f t="shared" si="47"/>
        <v>0</v>
      </c>
    </row>
    <row r="713" spans="8:12" x14ac:dyDescent="0.25">
      <c r="H713" s="27">
        <f t="shared" si="44"/>
        <v>0</v>
      </c>
      <c r="J713" s="28">
        <f t="shared" si="45"/>
        <v>0</v>
      </c>
      <c r="K713" s="29">
        <f t="shared" si="46"/>
        <v>0</v>
      </c>
      <c r="L713" s="28">
        <f t="shared" si="47"/>
        <v>0</v>
      </c>
    </row>
    <row r="714" spans="8:12" x14ac:dyDescent="0.25">
      <c r="H714" s="27">
        <f t="shared" si="44"/>
        <v>0</v>
      </c>
      <c r="J714" s="28">
        <f t="shared" si="45"/>
        <v>0</v>
      </c>
      <c r="K714" s="29">
        <f t="shared" si="46"/>
        <v>0</v>
      </c>
      <c r="L714" s="28">
        <f t="shared" si="47"/>
        <v>0</v>
      </c>
    </row>
    <row r="715" spans="8:12" x14ac:dyDescent="0.25">
      <c r="H715" s="27">
        <f t="shared" si="44"/>
        <v>0</v>
      </c>
      <c r="J715" s="28">
        <f t="shared" si="45"/>
        <v>0</v>
      </c>
      <c r="K715" s="29">
        <f t="shared" si="46"/>
        <v>0</v>
      </c>
      <c r="L715" s="28">
        <f t="shared" si="47"/>
        <v>0</v>
      </c>
    </row>
    <row r="716" spans="8:12" x14ac:dyDescent="0.25">
      <c r="H716" s="27">
        <f t="shared" si="44"/>
        <v>0</v>
      </c>
      <c r="J716" s="28">
        <f t="shared" si="45"/>
        <v>0</v>
      </c>
      <c r="K716" s="29">
        <f t="shared" si="46"/>
        <v>0</v>
      </c>
      <c r="L716" s="28">
        <f t="shared" si="47"/>
        <v>0</v>
      </c>
    </row>
    <row r="717" spans="8:12" x14ac:dyDescent="0.25">
      <c r="H717" s="27">
        <f t="shared" si="44"/>
        <v>0</v>
      </c>
      <c r="J717" s="28">
        <f t="shared" si="45"/>
        <v>0</v>
      </c>
      <c r="K717" s="29">
        <f t="shared" si="46"/>
        <v>0</v>
      </c>
      <c r="L717" s="28">
        <f t="shared" si="47"/>
        <v>0</v>
      </c>
    </row>
    <row r="718" spans="8:12" x14ac:dyDescent="0.25">
      <c r="H718" s="27">
        <f t="shared" si="44"/>
        <v>0</v>
      </c>
      <c r="J718" s="28">
        <f t="shared" si="45"/>
        <v>0</v>
      </c>
      <c r="K718" s="29">
        <f t="shared" si="46"/>
        <v>0</v>
      </c>
      <c r="L718" s="28">
        <f t="shared" si="47"/>
        <v>0</v>
      </c>
    </row>
    <row r="719" spans="8:12" x14ac:dyDescent="0.25">
      <c r="H719" s="27">
        <f t="shared" si="44"/>
        <v>0</v>
      </c>
      <c r="J719" s="28">
        <f t="shared" si="45"/>
        <v>0</v>
      </c>
      <c r="K719" s="29">
        <f t="shared" si="46"/>
        <v>0</v>
      </c>
      <c r="L719" s="28">
        <f t="shared" si="47"/>
        <v>0</v>
      </c>
    </row>
    <row r="720" spans="8:12" x14ac:dyDescent="0.25">
      <c r="H720" s="27">
        <f t="shared" si="44"/>
        <v>0</v>
      </c>
      <c r="J720" s="28">
        <f t="shared" si="45"/>
        <v>0</v>
      </c>
      <c r="K720" s="29">
        <f t="shared" si="46"/>
        <v>0</v>
      </c>
      <c r="L720" s="28">
        <f t="shared" si="47"/>
        <v>0</v>
      </c>
    </row>
    <row r="721" spans="8:12" x14ac:dyDescent="0.25">
      <c r="H721" s="27">
        <f t="shared" si="44"/>
        <v>0</v>
      </c>
      <c r="J721" s="28">
        <f t="shared" si="45"/>
        <v>0</v>
      </c>
      <c r="K721" s="29">
        <f t="shared" si="46"/>
        <v>0</v>
      </c>
      <c r="L721" s="28">
        <f t="shared" si="47"/>
        <v>0</v>
      </c>
    </row>
    <row r="722" spans="8:12" x14ac:dyDescent="0.25">
      <c r="H722" s="27">
        <f t="shared" si="44"/>
        <v>0</v>
      </c>
      <c r="J722" s="28">
        <f t="shared" si="45"/>
        <v>0</v>
      </c>
      <c r="K722" s="29">
        <f t="shared" si="46"/>
        <v>0</v>
      </c>
      <c r="L722" s="28">
        <f t="shared" si="47"/>
        <v>0</v>
      </c>
    </row>
    <row r="723" spans="8:12" x14ac:dyDescent="0.25">
      <c r="H723" s="27">
        <f t="shared" si="44"/>
        <v>0</v>
      </c>
      <c r="J723" s="28">
        <f t="shared" si="45"/>
        <v>0</v>
      </c>
      <c r="K723" s="29">
        <f t="shared" si="46"/>
        <v>0</v>
      </c>
      <c r="L723" s="28">
        <f t="shared" si="47"/>
        <v>0</v>
      </c>
    </row>
    <row r="724" spans="8:12" x14ac:dyDescent="0.25">
      <c r="H724" s="27">
        <f t="shared" si="44"/>
        <v>0</v>
      </c>
      <c r="J724" s="28">
        <f t="shared" si="45"/>
        <v>0</v>
      </c>
      <c r="K724" s="29">
        <f t="shared" si="46"/>
        <v>0</v>
      </c>
      <c r="L724" s="28">
        <f t="shared" si="47"/>
        <v>0</v>
      </c>
    </row>
    <row r="725" spans="8:12" x14ac:dyDescent="0.25">
      <c r="H725" s="27">
        <f t="shared" si="44"/>
        <v>0</v>
      </c>
      <c r="J725" s="28">
        <f t="shared" si="45"/>
        <v>0</v>
      </c>
      <c r="K725" s="29">
        <f t="shared" si="46"/>
        <v>0</v>
      </c>
      <c r="L725" s="28">
        <f t="shared" si="47"/>
        <v>0</v>
      </c>
    </row>
    <row r="726" spans="8:12" x14ac:dyDescent="0.25">
      <c r="H726" s="27">
        <f t="shared" si="44"/>
        <v>0</v>
      </c>
      <c r="J726" s="28">
        <f t="shared" si="45"/>
        <v>0</v>
      </c>
      <c r="K726" s="29">
        <f t="shared" si="46"/>
        <v>0</v>
      </c>
      <c r="L726" s="28">
        <f t="shared" si="47"/>
        <v>0</v>
      </c>
    </row>
    <row r="727" spans="8:12" x14ac:dyDescent="0.25">
      <c r="H727" s="27">
        <f t="shared" si="44"/>
        <v>0</v>
      </c>
      <c r="J727" s="28">
        <f t="shared" si="45"/>
        <v>0</v>
      </c>
      <c r="K727" s="29">
        <f t="shared" si="46"/>
        <v>0</v>
      </c>
      <c r="L727" s="28">
        <f t="shared" si="47"/>
        <v>0</v>
      </c>
    </row>
    <row r="728" spans="8:12" x14ac:dyDescent="0.25">
      <c r="H728" s="27">
        <f t="shared" si="44"/>
        <v>0</v>
      </c>
      <c r="J728" s="28">
        <f t="shared" si="45"/>
        <v>0</v>
      </c>
      <c r="K728" s="29">
        <f t="shared" si="46"/>
        <v>0</v>
      </c>
      <c r="L728" s="28">
        <f t="shared" si="47"/>
        <v>0</v>
      </c>
    </row>
    <row r="729" spans="8:12" x14ac:dyDescent="0.25">
      <c r="H729" s="27">
        <f t="shared" si="44"/>
        <v>0</v>
      </c>
      <c r="J729" s="28">
        <f t="shared" si="45"/>
        <v>0</v>
      </c>
      <c r="K729" s="29">
        <f t="shared" si="46"/>
        <v>0</v>
      </c>
      <c r="L729" s="28">
        <f t="shared" si="47"/>
        <v>0</v>
      </c>
    </row>
    <row r="730" spans="8:12" x14ac:dyDescent="0.25">
      <c r="H730" s="27">
        <f t="shared" si="44"/>
        <v>0</v>
      </c>
      <c r="J730" s="28">
        <f t="shared" si="45"/>
        <v>0</v>
      </c>
      <c r="K730" s="29">
        <f t="shared" si="46"/>
        <v>0</v>
      </c>
      <c r="L730" s="28">
        <f t="shared" si="47"/>
        <v>0</v>
      </c>
    </row>
    <row r="731" spans="8:12" x14ac:dyDescent="0.25">
      <c r="H731" s="27">
        <f t="shared" si="44"/>
        <v>0</v>
      </c>
      <c r="J731" s="28">
        <f t="shared" si="45"/>
        <v>0</v>
      </c>
      <c r="K731" s="29">
        <f t="shared" si="46"/>
        <v>0</v>
      </c>
      <c r="L731" s="28">
        <f t="shared" si="47"/>
        <v>0</v>
      </c>
    </row>
    <row r="732" spans="8:12" x14ac:dyDescent="0.25">
      <c r="H732" s="27">
        <f t="shared" si="44"/>
        <v>0</v>
      </c>
      <c r="J732" s="28">
        <f t="shared" si="45"/>
        <v>0</v>
      </c>
      <c r="K732" s="29">
        <f t="shared" si="46"/>
        <v>0</v>
      </c>
      <c r="L732" s="28">
        <f t="shared" si="47"/>
        <v>0</v>
      </c>
    </row>
    <row r="733" spans="8:12" x14ac:dyDescent="0.25">
      <c r="H733" s="27">
        <f t="shared" si="44"/>
        <v>0</v>
      </c>
      <c r="J733" s="28">
        <f t="shared" si="45"/>
        <v>0</v>
      </c>
      <c r="K733" s="29">
        <f t="shared" si="46"/>
        <v>0</v>
      </c>
      <c r="L733" s="28">
        <f t="shared" si="47"/>
        <v>0</v>
      </c>
    </row>
    <row r="734" spans="8:12" x14ac:dyDescent="0.25">
      <c r="H734" s="27">
        <f t="shared" si="44"/>
        <v>0</v>
      </c>
      <c r="J734" s="28">
        <f t="shared" si="45"/>
        <v>0</v>
      </c>
      <c r="K734" s="29">
        <f t="shared" si="46"/>
        <v>0</v>
      </c>
      <c r="L734" s="28">
        <f t="shared" si="47"/>
        <v>0</v>
      </c>
    </row>
    <row r="735" spans="8:12" x14ac:dyDescent="0.25">
      <c r="H735" s="27">
        <f t="shared" si="44"/>
        <v>0</v>
      </c>
      <c r="J735" s="28">
        <f t="shared" si="45"/>
        <v>0</v>
      </c>
      <c r="K735" s="29">
        <f t="shared" si="46"/>
        <v>0</v>
      </c>
      <c r="L735" s="28">
        <f t="shared" si="47"/>
        <v>0</v>
      </c>
    </row>
    <row r="736" spans="8:12" x14ac:dyDescent="0.25">
      <c r="H736" s="27">
        <f t="shared" si="44"/>
        <v>0</v>
      </c>
      <c r="J736" s="28">
        <f t="shared" si="45"/>
        <v>0</v>
      </c>
      <c r="K736" s="29">
        <f t="shared" si="46"/>
        <v>0</v>
      </c>
      <c r="L736" s="28">
        <f t="shared" si="47"/>
        <v>0</v>
      </c>
    </row>
    <row r="737" spans="8:12" x14ac:dyDescent="0.25">
      <c r="H737" s="27">
        <f t="shared" si="44"/>
        <v>0</v>
      </c>
      <c r="J737" s="28">
        <f t="shared" si="45"/>
        <v>0</v>
      </c>
      <c r="K737" s="29">
        <f t="shared" si="46"/>
        <v>0</v>
      </c>
      <c r="L737" s="28">
        <f t="shared" si="47"/>
        <v>0</v>
      </c>
    </row>
    <row r="738" spans="8:12" x14ac:dyDescent="0.25">
      <c r="H738" s="27">
        <f t="shared" si="44"/>
        <v>0</v>
      </c>
      <c r="J738" s="28">
        <f t="shared" si="45"/>
        <v>0</v>
      </c>
      <c r="K738" s="29">
        <f t="shared" si="46"/>
        <v>0</v>
      </c>
      <c r="L738" s="28">
        <f t="shared" si="47"/>
        <v>0</v>
      </c>
    </row>
    <row r="739" spans="8:12" x14ac:dyDescent="0.25">
      <c r="H739" s="27">
        <f t="shared" si="44"/>
        <v>0</v>
      </c>
      <c r="J739" s="28">
        <f t="shared" si="45"/>
        <v>0</v>
      </c>
      <c r="K739" s="29">
        <f t="shared" si="46"/>
        <v>0</v>
      </c>
      <c r="L739" s="28">
        <f t="shared" si="47"/>
        <v>0</v>
      </c>
    </row>
    <row r="740" spans="8:12" x14ac:dyDescent="0.25">
      <c r="H740" s="27">
        <f t="shared" si="44"/>
        <v>0</v>
      </c>
      <c r="J740" s="28">
        <f t="shared" si="45"/>
        <v>0</v>
      </c>
      <c r="K740" s="29">
        <f t="shared" si="46"/>
        <v>0</v>
      </c>
      <c r="L740" s="28">
        <f t="shared" si="47"/>
        <v>0</v>
      </c>
    </row>
    <row r="741" spans="8:12" x14ac:dyDescent="0.25">
      <c r="H741" s="27">
        <f t="shared" si="44"/>
        <v>0</v>
      </c>
      <c r="J741" s="28">
        <f t="shared" si="45"/>
        <v>0</v>
      </c>
      <c r="K741" s="29">
        <f t="shared" si="46"/>
        <v>0</v>
      </c>
      <c r="L741" s="28">
        <f t="shared" si="47"/>
        <v>0</v>
      </c>
    </row>
    <row r="742" spans="8:12" x14ac:dyDescent="0.25">
      <c r="H742" s="27">
        <f t="shared" si="44"/>
        <v>0</v>
      </c>
      <c r="J742" s="28">
        <f t="shared" si="45"/>
        <v>0</v>
      </c>
      <c r="K742" s="29">
        <f t="shared" si="46"/>
        <v>0</v>
      </c>
      <c r="L742" s="28">
        <f t="shared" si="47"/>
        <v>0</v>
      </c>
    </row>
    <row r="743" spans="8:12" x14ac:dyDescent="0.25">
      <c r="H743" s="27">
        <f t="shared" si="44"/>
        <v>0</v>
      </c>
      <c r="J743" s="28">
        <f t="shared" si="45"/>
        <v>0</v>
      </c>
      <c r="K743" s="29">
        <f t="shared" si="46"/>
        <v>0</v>
      </c>
      <c r="L743" s="28">
        <f t="shared" si="47"/>
        <v>0</v>
      </c>
    </row>
    <row r="744" spans="8:12" x14ac:dyDescent="0.25">
      <c r="H744" s="27">
        <f t="shared" si="44"/>
        <v>0</v>
      </c>
      <c r="J744" s="28">
        <f t="shared" si="45"/>
        <v>0</v>
      </c>
      <c r="K744" s="29">
        <f t="shared" si="46"/>
        <v>0</v>
      </c>
      <c r="L744" s="28">
        <f t="shared" si="47"/>
        <v>0</v>
      </c>
    </row>
    <row r="745" spans="8:12" x14ac:dyDescent="0.25">
      <c r="H745" s="27">
        <f t="shared" si="44"/>
        <v>0</v>
      </c>
      <c r="J745" s="28">
        <f t="shared" si="45"/>
        <v>0</v>
      </c>
      <c r="K745" s="29">
        <f t="shared" si="46"/>
        <v>0</v>
      </c>
      <c r="L745" s="28">
        <f t="shared" si="47"/>
        <v>0</v>
      </c>
    </row>
    <row r="746" spans="8:12" x14ac:dyDescent="0.25">
      <c r="H746" s="27">
        <f t="shared" si="44"/>
        <v>0</v>
      </c>
      <c r="J746" s="28">
        <f t="shared" si="45"/>
        <v>0</v>
      </c>
      <c r="K746" s="29">
        <f t="shared" si="46"/>
        <v>0</v>
      </c>
      <c r="L746" s="28">
        <f t="shared" si="47"/>
        <v>0</v>
      </c>
    </row>
    <row r="747" spans="8:12" x14ac:dyDescent="0.25">
      <c r="H747" s="27">
        <f t="shared" si="44"/>
        <v>0</v>
      </c>
      <c r="J747" s="28">
        <f t="shared" si="45"/>
        <v>0</v>
      </c>
      <c r="K747" s="29">
        <f t="shared" si="46"/>
        <v>0</v>
      </c>
      <c r="L747" s="28">
        <f t="shared" si="47"/>
        <v>0</v>
      </c>
    </row>
    <row r="748" spans="8:12" x14ac:dyDescent="0.25">
      <c r="H748" s="27">
        <f t="shared" si="44"/>
        <v>0</v>
      </c>
      <c r="J748" s="28">
        <f t="shared" si="45"/>
        <v>0</v>
      </c>
      <c r="K748" s="29">
        <f t="shared" si="46"/>
        <v>0</v>
      </c>
      <c r="L748" s="28">
        <f t="shared" si="47"/>
        <v>0</v>
      </c>
    </row>
    <row r="749" spans="8:12" x14ac:dyDescent="0.25">
      <c r="H749" s="27">
        <f t="shared" si="44"/>
        <v>0</v>
      </c>
      <c r="J749" s="28">
        <f t="shared" si="45"/>
        <v>0</v>
      </c>
      <c r="K749" s="29">
        <f t="shared" si="46"/>
        <v>0</v>
      </c>
      <c r="L749" s="28">
        <f t="shared" si="47"/>
        <v>0</v>
      </c>
    </row>
    <row r="750" spans="8:12" x14ac:dyDescent="0.25">
      <c r="H750" s="27">
        <f t="shared" si="44"/>
        <v>0</v>
      </c>
      <c r="J750" s="28">
        <f t="shared" si="45"/>
        <v>0</v>
      </c>
      <c r="K750" s="29">
        <f t="shared" si="46"/>
        <v>0</v>
      </c>
      <c r="L750" s="28">
        <f t="shared" si="47"/>
        <v>0</v>
      </c>
    </row>
    <row r="751" spans="8:12" x14ac:dyDescent="0.25">
      <c r="H751" s="27">
        <f t="shared" si="44"/>
        <v>0</v>
      </c>
      <c r="J751" s="28">
        <f t="shared" si="45"/>
        <v>0</v>
      </c>
      <c r="K751" s="29">
        <f t="shared" si="46"/>
        <v>0</v>
      </c>
      <c r="L751" s="28">
        <f t="shared" si="47"/>
        <v>0</v>
      </c>
    </row>
    <row r="752" spans="8:12" x14ac:dyDescent="0.25">
      <c r="H752" s="27">
        <f t="shared" si="44"/>
        <v>0</v>
      </c>
      <c r="J752" s="28">
        <f t="shared" si="45"/>
        <v>0</v>
      </c>
      <c r="K752" s="29">
        <f t="shared" si="46"/>
        <v>0</v>
      </c>
      <c r="L752" s="28">
        <f t="shared" si="47"/>
        <v>0</v>
      </c>
    </row>
    <row r="753" spans="8:12" x14ac:dyDescent="0.25">
      <c r="H753" s="27">
        <f t="shared" si="44"/>
        <v>0</v>
      </c>
      <c r="J753" s="28">
        <f t="shared" si="45"/>
        <v>0</v>
      </c>
      <c r="K753" s="29">
        <f t="shared" si="46"/>
        <v>0</v>
      </c>
      <c r="L753" s="28">
        <f t="shared" si="47"/>
        <v>0</v>
      </c>
    </row>
    <row r="754" spans="8:12" x14ac:dyDescent="0.25">
      <c r="H754" s="27">
        <f t="shared" si="44"/>
        <v>0</v>
      </c>
      <c r="J754" s="28">
        <f t="shared" si="45"/>
        <v>0</v>
      </c>
      <c r="K754" s="29">
        <f t="shared" si="46"/>
        <v>0</v>
      </c>
      <c r="L754" s="28">
        <f t="shared" si="47"/>
        <v>0</v>
      </c>
    </row>
    <row r="755" spans="8:12" x14ac:dyDescent="0.25">
      <c r="H755" s="27">
        <f t="shared" si="44"/>
        <v>0</v>
      </c>
      <c r="J755" s="28">
        <f t="shared" si="45"/>
        <v>0</v>
      </c>
      <c r="K755" s="29">
        <f t="shared" si="46"/>
        <v>0</v>
      </c>
      <c r="L755" s="28">
        <f t="shared" si="47"/>
        <v>0</v>
      </c>
    </row>
    <row r="756" spans="8:12" x14ac:dyDescent="0.25">
      <c r="H756" s="27">
        <f t="shared" si="44"/>
        <v>0</v>
      </c>
      <c r="J756" s="28">
        <f t="shared" si="45"/>
        <v>0</v>
      </c>
      <c r="K756" s="29">
        <f t="shared" si="46"/>
        <v>0</v>
      </c>
      <c r="L756" s="28">
        <f t="shared" si="47"/>
        <v>0</v>
      </c>
    </row>
    <row r="757" spans="8:12" x14ac:dyDescent="0.25">
      <c r="H757" s="27">
        <f t="shared" si="44"/>
        <v>0</v>
      </c>
      <c r="J757" s="28">
        <f t="shared" si="45"/>
        <v>0</v>
      </c>
      <c r="K757" s="29">
        <f t="shared" si="46"/>
        <v>0</v>
      </c>
      <c r="L757" s="28">
        <f t="shared" si="47"/>
        <v>0</v>
      </c>
    </row>
    <row r="758" spans="8:12" x14ac:dyDescent="0.25">
      <c r="H758" s="27">
        <f t="shared" si="44"/>
        <v>0</v>
      </c>
      <c r="J758" s="28">
        <f t="shared" si="45"/>
        <v>0</v>
      </c>
      <c r="K758" s="29">
        <f t="shared" si="46"/>
        <v>0</v>
      </c>
      <c r="L758" s="28">
        <f t="shared" si="47"/>
        <v>0</v>
      </c>
    </row>
    <row r="759" spans="8:12" x14ac:dyDescent="0.25">
      <c r="H759" s="27">
        <f t="shared" si="44"/>
        <v>0</v>
      </c>
      <c r="J759" s="28">
        <f t="shared" si="45"/>
        <v>0</v>
      </c>
      <c r="K759" s="29">
        <f t="shared" si="46"/>
        <v>0</v>
      </c>
      <c r="L759" s="28">
        <f t="shared" si="47"/>
        <v>0</v>
      </c>
    </row>
    <row r="760" spans="8:12" x14ac:dyDescent="0.25">
      <c r="H760" s="27">
        <f t="shared" si="44"/>
        <v>0</v>
      </c>
      <c r="J760" s="28">
        <f t="shared" si="45"/>
        <v>0</v>
      </c>
      <c r="K760" s="29">
        <f t="shared" si="46"/>
        <v>0</v>
      </c>
      <c r="L760" s="28">
        <f t="shared" si="47"/>
        <v>0</v>
      </c>
    </row>
    <row r="761" spans="8:12" x14ac:dyDescent="0.25">
      <c r="H761" s="27">
        <f t="shared" si="44"/>
        <v>0</v>
      </c>
      <c r="J761" s="28">
        <f t="shared" si="45"/>
        <v>0</v>
      </c>
      <c r="K761" s="29">
        <f t="shared" si="46"/>
        <v>0</v>
      </c>
      <c r="L761" s="28">
        <f t="shared" si="47"/>
        <v>0</v>
      </c>
    </row>
    <row r="762" spans="8:12" x14ac:dyDescent="0.25">
      <c r="H762" s="27">
        <f t="shared" si="44"/>
        <v>0</v>
      </c>
      <c r="J762" s="28">
        <f t="shared" si="45"/>
        <v>0</v>
      </c>
      <c r="K762" s="29">
        <f t="shared" si="46"/>
        <v>0</v>
      </c>
      <c r="L762" s="28">
        <f t="shared" si="47"/>
        <v>0</v>
      </c>
    </row>
    <row r="763" spans="8:12" x14ac:dyDescent="0.25">
      <c r="H763" s="27">
        <f t="shared" si="44"/>
        <v>0</v>
      </c>
      <c r="J763" s="28">
        <f t="shared" si="45"/>
        <v>0</v>
      </c>
      <c r="K763" s="29">
        <f t="shared" si="46"/>
        <v>0</v>
      </c>
      <c r="L763" s="28">
        <f t="shared" si="47"/>
        <v>0</v>
      </c>
    </row>
    <row r="764" spans="8:12" x14ac:dyDescent="0.25">
      <c r="H764" s="27">
        <f t="shared" si="44"/>
        <v>0</v>
      </c>
      <c r="J764" s="28">
        <f t="shared" si="45"/>
        <v>0</v>
      </c>
      <c r="K764" s="29">
        <f t="shared" si="46"/>
        <v>0</v>
      </c>
      <c r="L764" s="28">
        <f t="shared" si="47"/>
        <v>0</v>
      </c>
    </row>
    <row r="765" spans="8:12" x14ac:dyDescent="0.25">
      <c r="H765" s="27">
        <f t="shared" si="44"/>
        <v>0</v>
      </c>
      <c r="J765" s="28">
        <f t="shared" si="45"/>
        <v>0</v>
      </c>
      <c r="K765" s="29">
        <f t="shared" si="46"/>
        <v>0</v>
      </c>
      <c r="L765" s="28">
        <f t="shared" si="47"/>
        <v>0</v>
      </c>
    </row>
    <row r="766" spans="8:12" x14ac:dyDescent="0.25">
      <c r="H766" s="27">
        <f t="shared" si="44"/>
        <v>0</v>
      </c>
      <c r="J766" s="28">
        <f t="shared" si="45"/>
        <v>0</v>
      </c>
      <c r="K766" s="29">
        <f t="shared" si="46"/>
        <v>0</v>
      </c>
      <c r="L766" s="28">
        <f t="shared" si="47"/>
        <v>0</v>
      </c>
    </row>
    <row r="767" spans="8:12" x14ac:dyDescent="0.25">
      <c r="H767" s="27">
        <f t="shared" si="44"/>
        <v>0</v>
      </c>
      <c r="J767" s="28">
        <f t="shared" si="45"/>
        <v>0</v>
      </c>
      <c r="K767" s="29">
        <f t="shared" si="46"/>
        <v>0</v>
      </c>
      <c r="L767" s="28">
        <f t="shared" si="47"/>
        <v>0</v>
      </c>
    </row>
    <row r="768" spans="8:12" x14ac:dyDescent="0.25">
      <c r="H768" s="27">
        <f t="shared" si="44"/>
        <v>0</v>
      </c>
      <c r="J768" s="28">
        <f t="shared" si="45"/>
        <v>0</v>
      </c>
      <c r="K768" s="29">
        <f t="shared" si="46"/>
        <v>0</v>
      </c>
      <c r="L768" s="28">
        <f t="shared" si="47"/>
        <v>0</v>
      </c>
    </row>
    <row r="769" spans="8:12" x14ac:dyDescent="0.25">
      <c r="H769" s="27">
        <f t="shared" si="44"/>
        <v>0</v>
      </c>
      <c r="J769" s="28">
        <f t="shared" si="45"/>
        <v>0</v>
      </c>
      <c r="K769" s="29">
        <f t="shared" si="46"/>
        <v>0</v>
      </c>
      <c r="L769" s="28">
        <f t="shared" si="47"/>
        <v>0</v>
      </c>
    </row>
    <row r="770" spans="8:12" x14ac:dyDescent="0.25">
      <c r="H770" s="27">
        <f t="shared" ref="H770:H833" si="48">E770*F770</f>
        <v>0</v>
      </c>
      <c r="J770" s="28">
        <f t="shared" ref="J770:J833" si="49">I770*H770</f>
        <v>0</v>
      </c>
      <c r="K770" s="29">
        <f t="shared" ref="K770:K833" si="50">IF(M770="товар",$Q$4, IF(M770="м/к",$Q$2,IF(M770="комп",$Q$3,IF(M770="услуга",$Q$5,0))))</f>
        <v>0</v>
      </c>
      <c r="L770" s="28">
        <f t="shared" ref="L770:L833" si="51">(1+K770)*J770</f>
        <v>0</v>
      </c>
    </row>
    <row r="771" spans="8:12" x14ac:dyDescent="0.25">
      <c r="H771" s="27">
        <f t="shared" si="48"/>
        <v>0</v>
      </c>
      <c r="J771" s="28">
        <f t="shared" si="49"/>
        <v>0</v>
      </c>
      <c r="K771" s="29">
        <f t="shared" si="50"/>
        <v>0</v>
      </c>
      <c r="L771" s="28">
        <f t="shared" si="51"/>
        <v>0</v>
      </c>
    </row>
    <row r="772" spans="8:12" x14ac:dyDescent="0.25">
      <c r="H772" s="27">
        <f t="shared" si="48"/>
        <v>0</v>
      </c>
      <c r="J772" s="28">
        <f t="shared" si="49"/>
        <v>0</v>
      </c>
      <c r="K772" s="29">
        <f t="shared" si="50"/>
        <v>0</v>
      </c>
      <c r="L772" s="28">
        <f t="shared" si="51"/>
        <v>0</v>
      </c>
    </row>
    <row r="773" spans="8:12" x14ac:dyDescent="0.25">
      <c r="H773" s="27">
        <f t="shared" si="48"/>
        <v>0</v>
      </c>
      <c r="J773" s="28">
        <f t="shared" si="49"/>
        <v>0</v>
      </c>
      <c r="K773" s="29">
        <f t="shared" si="50"/>
        <v>0</v>
      </c>
      <c r="L773" s="28">
        <f t="shared" si="51"/>
        <v>0</v>
      </c>
    </row>
    <row r="774" spans="8:12" x14ac:dyDescent="0.25">
      <c r="H774" s="27">
        <f t="shared" si="48"/>
        <v>0</v>
      </c>
      <c r="J774" s="28">
        <f t="shared" si="49"/>
        <v>0</v>
      </c>
      <c r="K774" s="29">
        <f t="shared" si="50"/>
        <v>0</v>
      </c>
      <c r="L774" s="28">
        <f t="shared" si="51"/>
        <v>0</v>
      </c>
    </row>
    <row r="775" spans="8:12" x14ac:dyDescent="0.25">
      <c r="H775" s="27">
        <f t="shared" si="48"/>
        <v>0</v>
      </c>
      <c r="J775" s="28">
        <f t="shared" si="49"/>
        <v>0</v>
      </c>
      <c r="K775" s="29">
        <f t="shared" si="50"/>
        <v>0</v>
      </c>
      <c r="L775" s="28">
        <f t="shared" si="51"/>
        <v>0</v>
      </c>
    </row>
    <row r="776" spans="8:12" x14ac:dyDescent="0.25">
      <c r="H776" s="27">
        <f t="shared" si="48"/>
        <v>0</v>
      </c>
      <c r="J776" s="28">
        <f t="shared" si="49"/>
        <v>0</v>
      </c>
      <c r="K776" s="29">
        <f t="shared" si="50"/>
        <v>0</v>
      </c>
      <c r="L776" s="28">
        <f t="shared" si="51"/>
        <v>0</v>
      </c>
    </row>
    <row r="777" spans="8:12" x14ac:dyDescent="0.25">
      <c r="H777" s="27">
        <f t="shared" si="48"/>
        <v>0</v>
      </c>
      <c r="J777" s="28">
        <f t="shared" si="49"/>
        <v>0</v>
      </c>
      <c r="K777" s="29">
        <f t="shared" si="50"/>
        <v>0</v>
      </c>
      <c r="L777" s="28">
        <f t="shared" si="51"/>
        <v>0</v>
      </c>
    </row>
    <row r="778" spans="8:12" x14ac:dyDescent="0.25">
      <c r="H778" s="27">
        <f t="shared" si="48"/>
        <v>0</v>
      </c>
      <c r="J778" s="28">
        <f t="shared" si="49"/>
        <v>0</v>
      </c>
      <c r="K778" s="29">
        <f t="shared" si="50"/>
        <v>0</v>
      </c>
      <c r="L778" s="28">
        <f t="shared" si="51"/>
        <v>0</v>
      </c>
    </row>
    <row r="779" spans="8:12" x14ac:dyDescent="0.25">
      <c r="H779" s="27">
        <f t="shared" si="48"/>
        <v>0</v>
      </c>
      <c r="J779" s="28">
        <f t="shared" si="49"/>
        <v>0</v>
      </c>
      <c r="K779" s="29">
        <f t="shared" si="50"/>
        <v>0</v>
      </c>
      <c r="L779" s="28">
        <f t="shared" si="51"/>
        <v>0</v>
      </c>
    </row>
    <row r="780" spans="8:12" x14ac:dyDescent="0.25">
      <c r="H780" s="27">
        <f t="shared" si="48"/>
        <v>0</v>
      </c>
      <c r="J780" s="28">
        <f t="shared" si="49"/>
        <v>0</v>
      </c>
      <c r="K780" s="29">
        <f t="shared" si="50"/>
        <v>0</v>
      </c>
      <c r="L780" s="28">
        <f t="shared" si="51"/>
        <v>0</v>
      </c>
    </row>
    <row r="781" spans="8:12" x14ac:dyDescent="0.25">
      <c r="H781" s="27">
        <f t="shared" si="48"/>
        <v>0</v>
      </c>
      <c r="J781" s="28">
        <f t="shared" si="49"/>
        <v>0</v>
      </c>
      <c r="K781" s="29">
        <f t="shared" si="50"/>
        <v>0</v>
      </c>
      <c r="L781" s="28">
        <f t="shared" si="51"/>
        <v>0</v>
      </c>
    </row>
    <row r="782" spans="8:12" x14ac:dyDescent="0.25">
      <c r="H782" s="27">
        <f t="shared" si="48"/>
        <v>0</v>
      </c>
      <c r="J782" s="28">
        <f t="shared" si="49"/>
        <v>0</v>
      </c>
      <c r="K782" s="29">
        <f t="shared" si="50"/>
        <v>0</v>
      </c>
      <c r="L782" s="28">
        <f t="shared" si="51"/>
        <v>0</v>
      </c>
    </row>
    <row r="783" spans="8:12" x14ac:dyDescent="0.25">
      <c r="H783" s="27">
        <f t="shared" si="48"/>
        <v>0</v>
      </c>
      <c r="J783" s="28">
        <f t="shared" si="49"/>
        <v>0</v>
      </c>
      <c r="K783" s="29">
        <f t="shared" si="50"/>
        <v>0</v>
      </c>
      <c r="L783" s="28">
        <f t="shared" si="51"/>
        <v>0</v>
      </c>
    </row>
    <row r="784" spans="8:12" x14ac:dyDescent="0.25">
      <c r="H784" s="27">
        <f t="shared" si="48"/>
        <v>0</v>
      </c>
      <c r="J784" s="28">
        <f t="shared" si="49"/>
        <v>0</v>
      </c>
      <c r="K784" s="29">
        <f t="shared" si="50"/>
        <v>0</v>
      </c>
      <c r="L784" s="28">
        <f t="shared" si="51"/>
        <v>0</v>
      </c>
    </row>
    <row r="785" spans="8:12" x14ac:dyDescent="0.25">
      <c r="H785" s="27">
        <f t="shared" si="48"/>
        <v>0</v>
      </c>
      <c r="J785" s="28">
        <f t="shared" si="49"/>
        <v>0</v>
      </c>
      <c r="K785" s="29">
        <f t="shared" si="50"/>
        <v>0</v>
      </c>
      <c r="L785" s="28">
        <f t="shared" si="51"/>
        <v>0</v>
      </c>
    </row>
    <row r="786" spans="8:12" x14ac:dyDescent="0.25">
      <c r="H786" s="27">
        <f t="shared" si="48"/>
        <v>0</v>
      </c>
      <c r="J786" s="28">
        <f t="shared" si="49"/>
        <v>0</v>
      </c>
      <c r="K786" s="29">
        <f t="shared" si="50"/>
        <v>0</v>
      </c>
      <c r="L786" s="28">
        <f t="shared" si="51"/>
        <v>0</v>
      </c>
    </row>
    <row r="787" spans="8:12" x14ac:dyDescent="0.25">
      <c r="H787" s="27">
        <f t="shared" si="48"/>
        <v>0</v>
      </c>
      <c r="J787" s="28">
        <f t="shared" si="49"/>
        <v>0</v>
      </c>
      <c r="K787" s="29">
        <f t="shared" si="50"/>
        <v>0</v>
      </c>
      <c r="L787" s="28">
        <f t="shared" si="51"/>
        <v>0</v>
      </c>
    </row>
    <row r="788" spans="8:12" x14ac:dyDescent="0.25">
      <c r="H788" s="27">
        <f t="shared" si="48"/>
        <v>0</v>
      </c>
      <c r="J788" s="28">
        <f t="shared" si="49"/>
        <v>0</v>
      </c>
      <c r="K788" s="29">
        <f t="shared" si="50"/>
        <v>0</v>
      </c>
      <c r="L788" s="28">
        <f t="shared" si="51"/>
        <v>0</v>
      </c>
    </row>
    <row r="789" spans="8:12" x14ac:dyDescent="0.25">
      <c r="H789" s="27">
        <f t="shared" si="48"/>
        <v>0</v>
      </c>
      <c r="J789" s="28">
        <f t="shared" si="49"/>
        <v>0</v>
      </c>
      <c r="K789" s="29">
        <f t="shared" si="50"/>
        <v>0</v>
      </c>
      <c r="L789" s="28">
        <f t="shared" si="51"/>
        <v>0</v>
      </c>
    </row>
    <row r="790" spans="8:12" x14ac:dyDescent="0.25">
      <c r="H790" s="27">
        <f t="shared" si="48"/>
        <v>0</v>
      </c>
      <c r="J790" s="28">
        <f t="shared" si="49"/>
        <v>0</v>
      </c>
      <c r="K790" s="29">
        <f t="shared" si="50"/>
        <v>0</v>
      </c>
      <c r="L790" s="28">
        <f t="shared" si="51"/>
        <v>0</v>
      </c>
    </row>
    <row r="791" spans="8:12" x14ac:dyDescent="0.25">
      <c r="H791" s="27">
        <f t="shared" si="48"/>
        <v>0</v>
      </c>
      <c r="J791" s="28">
        <f t="shared" si="49"/>
        <v>0</v>
      </c>
      <c r="K791" s="29">
        <f t="shared" si="50"/>
        <v>0</v>
      </c>
      <c r="L791" s="28">
        <f t="shared" si="51"/>
        <v>0</v>
      </c>
    </row>
    <row r="792" spans="8:12" x14ac:dyDescent="0.25">
      <c r="H792" s="27">
        <f t="shared" si="48"/>
        <v>0</v>
      </c>
      <c r="J792" s="28">
        <f t="shared" si="49"/>
        <v>0</v>
      </c>
      <c r="K792" s="29">
        <f t="shared" si="50"/>
        <v>0</v>
      </c>
      <c r="L792" s="28">
        <f t="shared" si="51"/>
        <v>0</v>
      </c>
    </row>
    <row r="793" spans="8:12" x14ac:dyDescent="0.25">
      <c r="H793" s="27">
        <f t="shared" si="48"/>
        <v>0</v>
      </c>
      <c r="J793" s="28">
        <f t="shared" si="49"/>
        <v>0</v>
      </c>
      <c r="K793" s="29">
        <f t="shared" si="50"/>
        <v>0</v>
      </c>
      <c r="L793" s="28">
        <f t="shared" si="51"/>
        <v>0</v>
      </c>
    </row>
    <row r="794" spans="8:12" x14ac:dyDescent="0.25">
      <c r="H794" s="27">
        <f t="shared" si="48"/>
        <v>0</v>
      </c>
      <c r="J794" s="28">
        <f t="shared" si="49"/>
        <v>0</v>
      </c>
      <c r="K794" s="29">
        <f t="shared" si="50"/>
        <v>0</v>
      </c>
      <c r="L794" s="28">
        <f t="shared" si="51"/>
        <v>0</v>
      </c>
    </row>
    <row r="795" spans="8:12" x14ac:dyDescent="0.25">
      <c r="H795" s="27">
        <f t="shared" si="48"/>
        <v>0</v>
      </c>
      <c r="J795" s="28">
        <f t="shared" si="49"/>
        <v>0</v>
      </c>
      <c r="K795" s="29">
        <f t="shared" si="50"/>
        <v>0</v>
      </c>
      <c r="L795" s="28">
        <f t="shared" si="51"/>
        <v>0</v>
      </c>
    </row>
    <row r="796" spans="8:12" x14ac:dyDescent="0.25">
      <c r="H796" s="27">
        <f t="shared" si="48"/>
        <v>0</v>
      </c>
      <c r="J796" s="28">
        <f t="shared" si="49"/>
        <v>0</v>
      </c>
      <c r="K796" s="29">
        <f t="shared" si="50"/>
        <v>0</v>
      </c>
      <c r="L796" s="28">
        <f t="shared" si="51"/>
        <v>0</v>
      </c>
    </row>
    <row r="797" spans="8:12" x14ac:dyDescent="0.25">
      <c r="H797" s="27">
        <f t="shared" si="48"/>
        <v>0</v>
      </c>
      <c r="J797" s="28">
        <f t="shared" si="49"/>
        <v>0</v>
      </c>
      <c r="K797" s="29">
        <f t="shared" si="50"/>
        <v>0</v>
      </c>
      <c r="L797" s="28">
        <f t="shared" si="51"/>
        <v>0</v>
      </c>
    </row>
    <row r="798" spans="8:12" x14ac:dyDescent="0.25">
      <c r="H798" s="27">
        <f t="shared" si="48"/>
        <v>0</v>
      </c>
      <c r="J798" s="28">
        <f t="shared" si="49"/>
        <v>0</v>
      </c>
      <c r="K798" s="29">
        <f t="shared" si="50"/>
        <v>0</v>
      </c>
      <c r="L798" s="28">
        <f t="shared" si="51"/>
        <v>0</v>
      </c>
    </row>
    <row r="799" spans="8:12" x14ac:dyDescent="0.25">
      <c r="H799" s="27">
        <f t="shared" si="48"/>
        <v>0</v>
      </c>
      <c r="J799" s="28">
        <f t="shared" si="49"/>
        <v>0</v>
      </c>
      <c r="K799" s="29">
        <f t="shared" si="50"/>
        <v>0</v>
      </c>
      <c r="L799" s="28">
        <f t="shared" si="51"/>
        <v>0</v>
      </c>
    </row>
    <row r="800" spans="8:12" x14ac:dyDescent="0.25">
      <c r="H800" s="27">
        <f t="shared" si="48"/>
        <v>0</v>
      </c>
      <c r="J800" s="28">
        <f t="shared" si="49"/>
        <v>0</v>
      </c>
      <c r="K800" s="29">
        <f t="shared" si="50"/>
        <v>0</v>
      </c>
      <c r="L800" s="28">
        <f t="shared" si="51"/>
        <v>0</v>
      </c>
    </row>
    <row r="801" spans="8:12" x14ac:dyDescent="0.25">
      <c r="H801" s="27">
        <f t="shared" si="48"/>
        <v>0</v>
      </c>
      <c r="J801" s="28">
        <f t="shared" si="49"/>
        <v>0</v>
      </c>
      <c r="K801" s="29">
        <f t="shared" si="50"/>
        <v>0</v>
      </c>
      <c r="L801" s="28">
        <f t="shared" si="51"/>
        <v>0</v>
      </c>
    </row>
    <row r="802" spans="8:12" x14ac:dyDescent="0.25">
      <c r="H802" s="27">
        <f t="shared" si="48"/>
        <v>0</v>
      </c>
      <c r="J802" s="28">
        <f t="shared" si="49"/>
        <v>0</v>
      </c>
      <c r="K802" s="29">
        <f t="shared" si="50"/>
        <v>0</v>
      </c>
      <c r="L802" s="28">
        <f t="shared" si="51"/>
        <v>0</v>
      </c>
    </row>
    <row r="803" spans="8:12" x14ac:dyDescent="0.25">
      <c r="H803" s="27">
        <f t="shared" si="48"/>
        <v>0</v>
      </c>
      <c r="J803" s="28">
        <f t="shared" si="49"/>
        <v>0</v>
      </c>
      <c r="K803" s="29">
        <f t="shared" si="50"/>
        <v>0</v>
      </c>
      <c r="L803" s="28">
        <f t="shared" si="51"/>
        <v>0</v>
      </c>
    </row>
    <row r="804" spans="8:12" x14ac:dyDescent="0.25">
      <c r="H804" s="27">
        <f t="shared" si="48"/>
        <v>0</v>
      </c>
      <c r="J804" s="28">
        <f t="shared" si="49"/>
        <v>0</v>
      </c>
      <c r="K804" s="29">
        <f t="shared" si="50"/>
        <v>0</v>
      </c>
      <c r="L804" s="28">
        <f t="shared" si="51"/>
        <v>0</v>
      </c>
    </row>
    <row r="805" spans="8:12" x14ac:dyDescent="0.25">
      <c r="H805" s="27">
        <f t="shared" si="48"/>
        <v>0</v>
      </c>
      <c r="J805" s="28">
        <f t="shared" si="49"/>
        <v>0</v>
      </c>
      <c r="K805" s="29">
        <f t="shared" si="50"/>
        <v>0</v>
      </c>
      <c r="L805" s="28">
        <f t="shared" si="51"/>
        <v>0</v>
      </c>
    </row>
    <row r="806" spans="8:12" x14ac:dyDescent="0.25">
      <c r="H806" s="27">
        <f t="shared" si="48"/>
        <v>0</v>
      </c>
      <c r="J806" s="28">
        <f t="shared" si="49"/>
        <v>0</v>
      </c>
      <c r="K806" s="29">
        <f t="shared" si="50"/>
        <v>0</v>
      </c>
      <c r="L806" s="28">
        <f t="shared" si="51"/>
        <v>0</v>
      </c>
    </row>
    <row r="807" spans="8:12" x14ac:dyDescent="0.25">
      <c r="H807" s="27">
        <f t="shared" si="48"/>
        <v>0</v>
      </c>
      <c r="J807" s="28">
        <f t="shared" si="49"/>
        <v>0</v>
      </c>
      <c r="K807" s="29">
        <f t="shared" si="50"/>
        <v>0</v>
      </c>
      <c r="L807" s="28">
        <f t="shared" si="51"/>
        <v>0</v>
      </c>
    </row>
    <row r="808" spans="8:12" x14ac:dyDescent="0.25">
      <c r="H808" s="27">
        <f t="shared" si="48"/>
        <v>0</v>
      </c>
      <c r="J808" s="28">
        <f t="shared" si="49"/>
        <v>0</v>
      </c>
      <c r="K808" s="29">
        <f t="shared" si="50"/>
        <v>0</v>
      </c>
      <c r="L808" s="28">
        <f t="shared" si="51"/>
        <v>0</v>
      </c>
    </row>
    <row r="809" spans="8:12" x14ac:dyDescent="0.25">
      <c r="H809" s="27">
        <f t="shared" si="48"/>
        <v>0</v>
      </c>
      <c r="J809" s="28">
        <f t="shared" si="49"/>
        <v>0</v>
      </c>
      <c r="K809" s="29">
        <f t="shared" si="50"/>
        <v>0</v>
      </c>
      <c r="L809" s="28">
        <f t="shared" si="51"/>
        <v>0</v>
      </c>
    </row>
    <row r="810" spans="8:12" x14ac:dyDescent="0.25">
      <c r="H810" s="27">
        <f t="shared" si="48"/>
        <v>0</v>
      </c>
      <c r="J810" s="28">
        <f t="shared" si="49"/>
        <v>0</v>
      </c>
      <c r="K810" s="29">
        <f t="shared" si="50"/>
        <v>0</v>
      </c>
      <c r="L810" s="28">
        <f t="shared" si="51"/>
        <v>0</v>
      </c>
    </row>
    <row r="811" spans="8:12" x14ac:dyDescent="0.25">
      <c r="H811" s="27">
        <f t="shared" si="48"/>
        <v>0</v>
      </c>
      <c r="J811" s="28">
        <f t="shared" si="49"/>
        <v>0</v>
      </c>
      <c r="K811" s="29">
        <f t="shared" si="50"/>
        <v>0</v>
      </c>
      <c r="L811" s="28">
        <f t="shared" si="51"/>
        <v>0</v>
      </c>
    </row>
    <row r="812" spans="8:12" x14ac:dyDescent="0.25">
      <c r="H812" s="27">
        <f t="shared" si="48"/>
        <v>0</v>
      </c>
      <c r="J812" s="28">
        <f t="shared" si="49"/>
        <v>0</v>
      </c>
      <c r="K812" s="29">
        <f t="shared" si="50"/>
        <v>0</v>
      </c>
      <c r="L812" s="28">
        <f t="shared" si="51"/>
        <v>0</v>
      </c>
    </row>
    <row r="813" spans="8:12" x14ac:dyDescent="0.25">
      <c r="H813" s="27">
        <f t="shared" si="48"/>
        <v>0</v>
      </c>
      <c r="J813" s="28">
        <f t="shared" si="49"/>
        <v>0</v>
      </c>
      <c r="K813" s="29">
        <f t="shared" si="50"/>
        <v>0</v>
      </c>
      <c r="L813" s="28">
        <f t="shared" si="51"/>
        <v>0</v>
      </c>
    </row>
    <row r="814" spans="8:12" x14ac:dyDescent="0.25">
      <c r="H814" s="27">
        <f t="shared" si="48"/>
        <v>0</v>
      </c>
      <c r="J814" s="28">
        <f t="shared" si="49"/>
        <v>0</v>
      </c>
      <c r="K814" s="29">
        <f t="shared" si="50"/>
        <v>0</v>
      </c>
      <c r="L814" s="28">
        <f t="shared" si="51"/>
        <v>0</v>
      </c>
    </row>
    <row r="815" spans="8:12" x14ac:dyDescent="0.25">
      <c r="H815" s="27">
        <f t="shared" si="48"/>
        <v>0</v>
      </c>
      <c r="J815" s="28">
        <f t="shared" si="49"/>
        <v>0</v>
      </c>
      <c r="K815" s="29">
        <f t="shared" si="50"/>
        <v>0</v>
      </c>
      <c r="L815" s="28">
        <f t="shared" si="51"/>
        <v>0</v>
      </c>
    </row>
    <row r="816" spans="8:12" x14ac:dyDescent="0.25">
      <c r="H816" s="27">
        <f t="shared" si="48"/>
        <v>0</v>
      </c>
      <c r="J816" s="28">
        <f t="shared" si="49"/>
        <v>0</v>
      </c>
      <c r="K816" s="29">
        <f t="shared" si="50"/>
        <v>0</v>
      </c>
      <c r="L816" s="28">
        <f t="shared" si="51"/>
        <v>0</v>
      </c>
    </row>
    <row r="817" spans="8:12" x14ac:dyDescent="0.25">
      <c r="H817" s="27">
        <f t="shared" si="48"/>
        <v>0</v>
      </c>
      <c r="J817" s="28">
        <f t="shared" si="49"/>
        <v>0</v>
      </c>
      <c r="K817" s="29">
        <f t="shared" si="50"/>
        <v>0</v>
      </c>
      <c r="L817" s="28">
        <f t="shared" si="51"/>
        <v>0</v>
      </c>
    </row>
    <row r="818" spans="8:12" x14ac:dyDescent="0.25">
      <c r="H818" s="27">
        <f t="shared" si="48"/>
        <v>0</v>
      </c>
      <c r="J818" s="28">
        <f t="shared" si="49"/>
        <v>0</v>
      </c>
      <c r="K818" s="29">
        <f t="shared" si="50"/>
        <v>0</v>
      </c>
      <c r="L818" s="28">
        <f t="shared" si="51"/>
        <v>0</v>
      </c>
    </row>
    <row r="819" spans="8:12" x14ac:dyDescent="0.25">
      <c r="H819" s="27">
        <f t="shared" si="48"/>
        <v>0</v>
      </c>
      <c r="J819" s="28">
        <f t="shared" si="49"/>
        <v>0</v>
      </c>
      <c r="K819" s="29">
        <f t="shared" si="50"/>
        <v>0</v>
      </c>
      <c r="L819" s="28">
        <f t="shared" si="51"/>
        <v>0</v>
      </c>
    </row>
    <row r="820" spans="8:12" x14ac:dyDescent="0.25">
      <c r="H820" s="27">
        <f t="shared" si="48"/>
        <v>0</v>
      </c>
      <c r="J820" s="28">
        <f t="shared" si="49"/>
        <v>0</v>
      </c>
      <c r="K820" s="29">
        <f t="shared" si="50"/>
        <v>0</v>
      </c>
      <c r="L820" s="28">
        <f t="shared" si="51"/>
        <v>0</v>
      </c>
    </row>
    <row r="821" spans="8:12" x14ac:dyDescent="0.25">
      <c r="H821" s="27">
        <f t="shared" si="48"/>
        <v>0</v>
      </c>
      <c r="J821" s="28">
        <f t="shared" si="49"/>
        <v>0</v>
      </c>
      <c r="K821" s="29">
        <f t="shared" si="50"/>
        <v>0</v>
      </c>
      <c r="L821" s="28">
        <f t="shared" si="51"/>
        <v>0</v>
      </c>
    </row>
    <row r="822" spans="8:12" x14ac:dyDescent="0.25">
      <c r="H822" s="27">
        <f t="shared" si="48"/>
        <v>0</v>
      </c>
      <c r="J822" s="28">
        <f t="shared" si="49"/>
        <v>0</v>
      </c>
      <c r="K822" s="29">
        <f t="shared" si="50"/>
        <v>0</v>
      </c>
      <c r="L822" s="28">
        <f t="shared" si="51"/>
        <v>0</v>
      </c>
    </row>
    <row r="823" spans="8:12" x14ac:dyDescent="0.25">
      <c r="H823" s="27">
        <f t="shared" si="48"/>
        <v>0</v>
      </c>
      <c r="J823" s="28">
        <f t="shared" si="49"/>
        <v>0</v>
      </c>
      <c r="K823" s="29">
        <f t="shared" si="50"/>
        <v>0</v>
      </c>
      <c r="L823" s="28">
        <f t="shared" si="51"/>
        <v>0</v>
      </c>
    </row>
    <row r="824" spans="8:12" x14ac:dyDescent="0.25">
      <c r="H824" s="27">
        <f t="shared" si="48"/>
        <v>0</v>
      </c>
      <c r="J824" s="28">
        <f t="shared" si="49"/>
        <v>0</v>
      </c>
      <c r="K824" s="29">
        <f t="shared" si="50"/>
        <v>0</v>
      </c>
      <c r="L824" s="28">
        <f t="shared" si="51"/>
        <v>0</v>
      </c>
    </row>
    <row r="825" spans="8:12" x14ac:dyDescent="0.25">
      <c r="H825" s="27">
        <f t="shared" si="48"/>
        <v>0</v>
      </c>
      <c r="J825" s="28">
        <f t="shared" si="49"/>
        <v>0</v>
      </c>
      <c r="K825" s="29">
        <f t="shared" si="50"/>
        <v>0</v>
      </c>
      <c r="L825" s="28">
        <f t="shared" si="51"/>
        <v>0</v>
      </c>
    </row>
    <row r="826" spans="8:12" x14ac:dyDescent="0.25">
      <c r="H826" s="27">
        <f t="shared" si="48"/>
        <v>0</v>
      </c>
      <c r="J826" s="28">
        <f t="shared" si="49"/>
        <v>0</v>
      </c>
      <c r="K826" s="29">
        <f t="shared" si="50"/>
        <v>0</v>
      </c>
      <c r="L826" s="28">
        <f t="shared" si="51"/>
        <v>0</v>
      </c>
    </row>
    <row r="827" spans="8:12" x14ac:dyDescent="0.25">
      <c r="H827" s="27">
        <f t="shared" si="48"/>
        <v>0</v>
      </c>
      <c r="J827" s="28">
        <f t="shared" si="49"/>
        <v>0</v>
      </c>
      <c r="K827" s="29">
        <f t="shared" si="50"/>
        <v>0</v>
      </c>
      <c r="L827" s="28">
        <f t="shared" si="51"/>
        <v>0</v>
      </c>
    </row>
    <row r="828" spans="8:12" x14ac:dyDescent="0.25">
      <c r="H828" s="27">
        <f t="shared" si="48"/>
        <v>0</v>
      </c>
      <c r="J828" s="28">
        <f t="shared" si="49"/>
        <v>0</v>
      </c>
      <c r="K828" s="29">
        <f t="shared" si="50"/>
        <v>0</v>
      </c>
      <c r="L828" s="28">
        <f t="shared" si="51"/>
        <v>0</v>
      </c>
    </row>
    <row r="829" spans="8:12" x14ac:dyDescent="0.25">
      <c r="H829" s="27">
        <f t="shared" si="48"/>
        <v>0</v>
      </c>
      <c r="J829" s="28">
        <f t="shared" si="49"/>
        <v>0</v>
      </c>
      <c r="K829" s="29">
        <f t="shared" si="50"/>
        <v>0</v>
      </c>
      <c r="L829" s="28">
        <f t="shared" si="51"/>
        <v>0</v>
      </c>
    </row>
    <row r="830" spans="8:12" x14ac:dyDescent="0.25">
      <c r="H830" s="27">
        <f t="shared" si="48"/>
        <v>0</v>
      </c>
      <c r="J830" s="28">
        <f t="shared" si="49"/>
        <v>0</v>
      </c>
      <c r="K830" s="29">
        <f t="shared" si="50"/>
        <v>0</v>
      </c>
      <c r="L830" s="28">
        <f t="shared" si="51"/>
        <v>0</v>
      </c>
    </row>
    <row r="831" spans="8:12" x14ac:dyDescent="0.25">
      <c r="H831" s="27">
        <f t="shared" si="48"/>
        <v>0</v>
      </c>
      <c r="J831" s="28">
        <f t="shared" si="49"/>
        <v>0</v>
      </c>
      <c r="K831" s="29">
        <f t="shared" si="50"/>
        <v>0</v>
      </c>
      <c r="L831" s="28">
        <f t="shared" si="51"/>
        <v>0</v>
      </c>
    </row>
    <row r="832" spans="8:12" x14ac:dyDescent="0.25">
      <c r="H832" s="27">
        <f t="shared" si="48"/>
        <v>0</v>
      </c>
      <c r="J832" s="28">
        <f t="shared" si="49"/>
        <v>0</v>
      </c>
      <c r="K832" s="29">
        <f t="shared" si="50"/>
        <v>0</v>
      </c>
      <c r="L832" s="28">
        <f t="shared" si="51"/>
        <v>0</v>
      </c>
    </row>
    <row r="833" spans="8:12" x14ac:dyDescent="0.25">
      <c r="H833" s="27">
        <f t="shared" si="48"/>
        <v>0</v>
      </c>
      <c r="J833" s="28">
        <f t="shared" si="49"/>
        <v>0</v>
      </c>
      <c r="K833" s="29">
        <f t="shared" si="50"/>
        <v>0</v>
      </c>
      <c r="L833" s="28">
        <f t="shared" si="51"/>
        <v>0</v>
      </c>
    </row>
    <row r="834" spans="8:12" x14ac:dyDescent="0.25">
      <c r="H834" s="27">
        <f t="shared" ref="H834:H897" si="52">E834*F834</f>
        <v>0</v>
      </c>
      <c r="J834" s="28">
        <f t="shared" ref="J834:J897" si="53">I834*H834</f>
        <v>0</v>
      </c>
      <c r="K834" s="29">
        <f t="shared" ref="K834:K897" si="54">IF(M834="товар",$Q$4, IF(M834="м/к",$Q$2,IF(M834="комп",$Q$3,IF(M834="услуга",$Q$5,0))))</f>
        <v>0</v>
      </c>
      <c r="L834" s="28">
        <f t="shared" ref="L834:L897" si="55">(1+K834)*J834</f>
        <v>0</v>
      </c>
    </row>
    <row r="835" spans="8:12" x14ac:dyDescent="0.25">
      <c r="H835" s="27">
        <f t="shared" si="52"/>
        <v>0</v>
      </c>
      <c r="J835" s="28">
        <f t="shared" si="53"/>
        <v>0</v>
      </c>
      <c r="K835" s="29">
        <f t="shared" si="54"/>
        <v>0</v>
      </c>
      <c r="L835" s="28">
        <f t="shared" si="55"/>
        <v>0</v>
      </c>
    </row>
    <row r="836" spans="8:12" x14ac:dyDescent="0.25">
      <c r="H836" s="27">
        <f t="shared" si="52"/>
        <v>0</v>
      </c>
      <c r="J836" s="28">
        <f t="shared" si="53"/>
        <v>0</v>
      </c>
      <c r="K836" s="29">
        <f t="shared" si="54"/>
        <v>0</v>
      </c>
      <c r="L836" s="28">
        <f t="shared" si="55"/>
        <v>0</v>
      </c>
    </row>
    <row r="837" spans="8:12" x14ac:dyDescent="0.25">
      <c r="H837" s="27">
        <f t="shared" si="52"/>
        <v>0</v>
      </c>
      <c r="J837" s="28">
        <f t="shared" si="53"/>
        <v>0</v>
      </c>
      <c r="K837" s="29">
        <f t="shared" si="54"/>
        <v>0</v>
      </c>
      <c r="L837" s="28">
        <f t="shared" si="55"/>
        <v>0</v>
      </c>
    </row>
    <row r="838" spans="8:12" x14ac:dyDescent="0.25">
      <c r="H838" s="27">
        <f t="shared" si="52"/>
        <v>0</v>
      </c>
      <c r="J838" s="28">
        <f t="shared" si="53"/>
        <v>0</v>
      </c>
      <c r="K838" s="29">
        <f t="shared" si="54"/>
        <v>0</v>
      </c>
      <c r="L838" s="28">
        <f t="shared" si="55"/>
        <v>0</v>
      </c>
    </row>
    <row r="839" spans="8:12" x14ac:dyDescent="0.25">
      <c r="H839" s="27">
        <f t="shared" si="52"/>
        <v>0</v>
      </c>
      <c r="J839" s="28">
        <f t="shared" si="53"/>
        <v>0</v>
      </c>
      <c r="K839" s="29">
        <f t="shared" si="54"/>
        <v>0</v>
      </c>
      <c r="L839" s="28">
        <f t="shared" si="55"/>
        <v>0</v>
      </c>
    </row>
    <row r="840" spans="8:12" x14ac:dyDescent="0.25">
      <c r="H840" s="27">
        <f t="shared" si="52"/>
        <v>0</v>
      </c>
      <c r="J840" s="28">
        <f t="shared" si="53"/>
        <v>0</v>
      </c>
      <c r="K840" s="29">
        <f t="shared" si="54"/>
        <v>0</v>
      </c>
      <c r="L840" s="28">
        <f t="shared" si="55"/>
        <v>0</v>
      </c>
    </row>
    <row r="841" spans="8:12" x14ac:dyDescent="0.25">
      <c r="H841" s="27">
        <f t="shared" si="52"/>
        <v>0</v>
      </c>
      <c r="J841" s="28">
        <f t="shared" si="53"/>
        <v>0</v>
      </c>
      <c r="K841" s="29">
        <f t="shared" si="54"/>
        <v>0</v>
      </c>
      <c r="L841" s="28">
        <f t="shared" si="55"/>
        <v>0</v>
      </c>
    </row>
    <row r="842" spans="8:12" x14ac:dyDescent="0.25">
      <c r="H842" s="27">
        <f t="shared" si="52"/>
        <v>0</v>
      </c>
      <c r="J842" s="28">
        <f t="shared" si="53"/>
        <v>0</v>
      </c>
      <c r="K842" s="29">
        <f t="shared" si="54"/>
        <v>0</v>
      </c>
      <c r="L842" s="28">
        <f t="shared" si="55"/>
        <v>0</v>
      </c>
    </row>
    <row r="843" spans="8:12" x14ac:dyDescent="0.25">
      <c r="H843" s="27">
        <f t="shared" si="52"/>
        <v>0</v>
      </c>
      <c r="J843" s="28">
        <f t="shared" si="53"/>
        <v>0</v>
      </c>
      <c r="K843" s="29">
        <f t="shared" si="54"/>
        <v>0</v>
      </c>
      <c r="L843" s="28">
        <f t="shared" si="55"/>
        <v>0</v>
      </c>
    </row>
    <row r="844" spans="8:12" x14ac:dyDescent="0.25">
      <c r="H844" s="27">
        <f t="shared" si="52"/>
        <v>0</v>
      </c>
      <c r="J844" s="28">
        <f t="shared" si="53"/>
        <v>0</v>
      </c>
      <c r="K844" s="29">
        <f t="shared" si="54"/>
        <v>0</v>
      </c>
      <c r="L844" s="28">
        <f t="shared" si="55"/>
        <v>0</v>
      </c>
    </row>
    <row r="845" spans="8:12" x14ac:dyDescent="0.25">
      <c r="H845" s="27">
        <f t="shared" si="52"/>
        <v>0</v>
      </c>
      <c r="J845" s="28">
        <f t="shared" si="53"/>
        <v>0</v>
      </c>
      <c r="K845" s="29">
        <f t="shared" si="54"/>
        <v>0</v>
      </c>
      <c r="L845" s="28">
        <f t="shared" si="55"/>
        <v>0</v>
      </c>
    </row>
    <row r="846" spans="8:12" x14ac:dyDescent="0.25">
      <c r="H846" s="27">
        <f t="shared" si="52"/>
        <v>0</v>
      </c>
      <c r="J846" s="28">
        <f t="shared" si="53"/>
        <v>0</v>
      </c>
      <c r="K846" s="29">
        <f t="shared" si="54"/>
        <v>0</v>
      </c>
      <c r="L846" s="28">
        <f t="shared" si="55"/>
        <v>0</v>
      </c>
    </row>
    <row r="847" spans="8:12" x14ac:dyDescent="0.25">
      <c r="H847" s="27">
        <f t="shared" si="52"/>
        <v>0</v>
      </c>
      <c r="J847" s="28">
        <f t="shared" si="53"/>
        <v>0</v>
      </c>
      <c r="K847" s="29">
        <f t="shared" si="54"/>
        <v>0</v>
      </c>
      <c r="L847" s="28">
        <f t="shared" si="55"/>
        <v>0</v>
      </c>
    </row>
    <row r="848" spans="8:12" x14ac:dyDescent="0.25">
      <c r="H848" s="27">
        <f t="shared" si="52"/>
        <v>0</v>
      </c>
      <c r="J848" s="28">
        <f t="shared" si="53"/>
        <v>0</v>
      </c>
      <c r="K848" s="29">
        <f t="shared" si="54"/>
        <v>0</v>
      </c>
      <c r="L848" s="28">
        <f t="shared" si="55"/>
        <v>0</v>
      </c>
    </row>
    <row r="849" spans="8:12" x14ac:dyDescent="0.25">
      <c r="H849" s="27">
        <f t="shared" si="52"/>
        <v>0</v>
      </c>
      <c r="J849" s="28">
        <f t="shared" si="53"/>
        <v>0</v>
      </c>
      <c r="K849" s="29">
        <f t="shared" si="54"/>
        <v>0</v>
      </c>
      <c r="L849" s="28">
        <f t="shared" si="55"/>
        <v>0</v>
      </c>
    </row>
    <row r="850" spans="8:12" x14ac:dyDescent="0.25">
      <c r="H850" s="27">
        <f t="shared" si="52"/>
        <v>0</v>
      </c>
      <c r="J850" s="28">
        <f t="shared" si="53"/>
        <v>0</v>
      </c>
      <c r="K850" s="29">
        <f t="shared" si="54"/>
        <v>0</v>
      </c>
      <c r="L850" s="28">
        <f t="shared" si="55"/>
        <v>0</v>
      </c>
    </row>
    <row r="851" spans="8:12" x14ac:dyDescent="0.25">
      <c r="H851" s="27">
        <f t="shared" si="52"/>
        <v>0</v>
      </c>
      <c r="J851" s="28">
        <f t="shared" si="53"/>
        <v>0</v>
      </c>
      <c r="K851" s="29">
        <f t="shared" si="54"/>
        <v>0</v>
      </c>
      <c r="L851" s="28">
        <f t="shared" si="55"/>
        <v>0</v>
      </c>
    </row>
    <row r="852" spans="8:12" x14ac:dyDescent="0.25">
      <c r="H852" s="27">
        <f t="shared" si="52"/>
        <v>0</v>
      </c>
      <c r="J852" s="28">
        <f t="shared" si="53"/>
        <v>0</v>
      </c>
      <c r="K852" s="29">
        <f t="shared" si="54"/>
        <v>0</v>
      </c>
      <c r="L852" s="28">
        <f t="shared" si="55"/>
        <v>0</v>
      </c>
    </row>
    <row r="853" spans="8:12" x14ac:dyDescent="0.25">
      <c r="H853" s="27">
        <f t="shared" si="52"/>
        <v>0</v>
      </c>
      <c r="J853" s="28">
        <f t="shared" si="53"/>
        <v>0</v>
      </c>
      <c r="K853" s="29">
        <f t="shared" si="54"/>
        <v>0</v>
      </c>
      <c r="L853" s="28">
        <f t="shared" si="55"/>
        <v>0</v>
      </c>
    </row>
    <row r="854" spans="8:12" x14ac:dyDescent="0.25">
      <c r="H854" s="27">
        <f t="shared" si="52"/>
        <v>0</v>
      </c>
      <c r="J854" s="28">
        <f t="shared" si="53"/>
        <v>0</v>
      </c>
      <c r="K854" s="29">
        <f t="shared" si="54"/>
        <v>0</v>
      </c>
      <c r="L854" s="28">
        <f t="shared" si="55"/>
        <v>0</v>
      </c>
    </row>
    <row r="855" spans="8:12" x14ac:dyDescent="0.25">
      <c r="H855" s="27">
        <f t="shared" si="52"/>
        <v>0</v>
      </c>
      <c r="J855" s="28">
        <f t="shared" si="53"/>
        <v>0</v>
      </c>
      <c r="K855" s="29">
        <f t="shared" si="54"/>
        <v>0</v>
      </c>
      <c r="L855" s="28">
        <f t="shared" si="55"/>
        <v>0</v>
      </c>
    </row>
    <row r="856" spans="8:12" x14ac:dyDescent="0.25">
      <c r="H856" s="27">
        <f t="shared" si="52"/>
        <v>0</v>
      </c>
      <c r="J856" s="28">
        <f t="shared" si="53"/>
        <v>0</v>
      </c>
      <c r="K856" s="29">
        <f t="shared" si="54"/>
        <v>0</v>
      </c>
      <c r="L856" s="28">
        <f t="shared" si="55"/>
        <v>0</v>
      </c>
    </row>
    <row r="857" spans="8:12" x14ac:dyDescent="0.25">
      <c r="H857" s="27">
        <f t="shared" si="52"/>
        <v>0</v>
      </c>
      <c r="J857" s="28">
        <f t="shared" si="53"/>
        <v>0</v>
      </c>
      <c r="K857" s="29">
        <f t="shared" si="54"/>
        <v>0</v>
      </c>
      <c r="L857" s="28">
        <f t="shared" si="55"/>
        <v>0</v>
      </c>
    </row>
    <row r="858" spans="8:12" x14ac:dyDescent="0.25">
      <c r="H858" s="27">
        <f t="shared" si="52"/>
        <v>0</v>
      </c>
      <c r="J858" s="28">
        <f t="shared" si="53"/>
        <v>0</v>
      </c>
      <c r="K858" s="29">
        <f t="shared" si="54"/>
        <v>0</v>
      </c>
      <c r="L858" s="28">
        <f t="shared" si="55"/>
        <v>0</v>
      </c>
    </row>
    <row r="859" spans="8:12" x14ac:dyDescent="0.25">
      <c r="H859" s="27">
        <f t="shared" si="52"/>
        <v>0</v>
      </c>
      <c r="J859" s="28">
        <f t="shared" si="53"/>
        <v>0</v>
      </c>
      <c r="K859" s="29">
        <f t="shared" si="54"/>
        <v>0</v>
      </c>
      <c r="L859" s="28">
        <f t="shared" si="55"/>
        <v>0</v>
      </c>
    </row>
    <row r="860" spans="8:12" x14ac:dyDescent="0.25">
      <c r="H860" s="27">
        <f t="shared" si="52"/>
        <v>0</v>
      </c>
      <c r="J860" s="28">
        <f t="shared" si="53"/>
        <v>0</v>
      </c>
      <c r="K860" s="29">
        <f t="shared" si="54"/>
        <v>0</v>
      </c>
      <c r="L860" s="28">
        <f t="shared" si="55"/>
        <v>0</v>
      </c>
    </row>
    <row r="861" spans="8:12" x14ac:dyDescent="0.25">
      <c r="H861" s="27">
        <f t="shared" si="52"/>
        <v>0</v>
      </c>
      <c r="J861" s="28">
        <f t="shared" si="53"/>
        <v>0</v>
      </c>
      <c r="K861" s="29">
        <f t="shared" si="54"/>
        <v>0</v>
      </c>
      <c r="L861" s="28">
        <f t="shared" si="55"/>
        <v>0</v>
      </c>
    </row>
    <row r="862" spans="8:12" x14ac:dyDescent="0.25">
      <c r="H862" s="27">
        <f t="shared" si="52"/>
        <v>0</v>
      </c>
      <c r="J862" s="28">
        <f t="shared" si="53"/>
        <v>0</v>
      </c>
      <c r="K862" s="29">
        <f t="shared" si="54"/>
        <v>0</v>
      </c>
      <c r="L862" s="28">
        <f t="shared" si="55"/>
        <v>0</v>
      </c>
    </row>
    <row r="863" spans="8:12" x14ac:dyDescent="0.25">
      <c r="H863" s="27">
        <f t="shared" si="52"/>
        <v>0</v>
      </c>
      <c r="J863" s="28">
        <f t="shared" si="53"/>
        <v>0</v>
      </c>
      <c r="K863" s="29">
        <f t="shared" si="54"/>
        <v>0</v>
      </c>
      <c r="L863" s="28">
        <f t="shared" si="55"/>
        <v>0</v>
      </c>
    </row>
    <row r="864" spans="8:12" x14ac:dyDescent="0.25">
      <c r="H864" s="27">
        <f t="shared" si="52"/>
        <v>0</v>
      </c>
      <c r="J864" s="28">
        <f t="shared" si="53"/>
        <v>0</v>
      </c>
      <c r="K864" s="29">
        <f t="shared" si="54"/>
        <v>0</v>
      </c>
      <c r="L864" s="28">
        <f t="shared" si="55"/>
        <v>0</v>
      </c>
    </row>
    <row r="865" spans="8:12" x14ac:dyDescent="0.25">
      <c r="H865" s="27">
        <f t="shared" si="52"/>
        <v>0</v>
      </c>
      <c r="J865" s="28">
        <f t="shared" si="53"/>
        <v>0</v>
      </c>
      <c r="K865" s="29">
        <f t="shared" si="54"/>
        <v>0</v>
      </c>
      <c r="L865" s="28">
        <f t="shared" si="55"/>
        <v>0</v>
      </c>
    </row>
    <row r="866" spans="8:12" x14ac:dyDescent="0.25">
      <c r="H866" s="27">
        <f t="shared" si="52"/>
        <v>0</v>
      </c>
      <c r="J866" s="28">
        <f t="shared" si="53"/>
        <v>0</v>
      </c>
      <c r="K866" s="29">
        <f t="shared" si="54"/>
        <v>0</v>
      </c>
      <c r="L866" s="28">
        <f t="shared" si="55"/>
        <v>0</v>
      </c>
    </row>
    <row r="867" spans="8:12" x14ac:dyDescent="0.25">
      <c r="H867" s="27">
        <f t="shared" si="52"/>
        <v>0</v>
      </c>
      <c r="J867" s="28">
        <f t="shared" si="53"/>
        <v>0</v>
      </c>
      <c r="K867" s="29">
        <f t="shared" si="54"/>
        <v>0</v>
      </c>
      <c r="L867" s="28">
        <f t="shared" si="55"/>
        <v>0</v>
      </c>
    </row>
    <row r="868" spans="8:12" x14ac:dyDescent="0.25">
      <c r="H868" s="27">
        <f t="shared" si="52"/>
        <v>0</v>
      </c>
      <c r="J868" s="28">
        <f t="shared" si="53"/>
        <v>0</v>
      </c>
      <c r="K868" s="29">
        <f t="shared" si="54"/>
        <v>0</v>
      </c>
      <c r="L868" s="28">
        <f t="shared" si="55"/>
        <v>0</v>
      </c>
    </row>
    <row r="869" spans="8:12" x14ac:dyDescent="0.25">
      <c r="H869" s="27">
        <f t="shared" si="52"/>
        <v>0</v>
      </c>
      <c r="J869" s="28">
        <f t="shared" si="53"/>
        <v>0</v>
      </c>
      <c r="K869" s="29">
        <f t="shared" si="54"/>
        <v>0</v>
      </c>
      <c r="L869" s="28">
        <f t="shared" si="55"/>
        <v>0</v>
      </c>
    </row>
    <row r="870" spans="8:12" x14ac:dyDescent="0.25">
      <c r="H870" s="27">
        <f t="shared" si="52"/>
        <v>0</v>
      </c>
      <c r="J870" s="28">
        <f t="shared" si="53"/>
        <v>0</v>
      </c>
      <c r="K870" s="29">
        <f t="shared" si="54"/>
        <v>0</v>
      </c>
      <c r="L870" s="28">
        <f t="shared" si="55"/>
        <v>0</v>
      </c>
    </row>
    <row r="871" spans="8:12" x14ac:dyDescent="0.25">
      <c r="H871" s="27">
        <f t="shared" si="52"/>
        <v>0</v>
      </c>
      <c r="J871" s="28">
        <f t="shared" si="53"/>
        <v>0</v>
      </c>
      <c r="K871" s="29">
        <f t="shared" si="54"/>
        <v>0</v>
      </c>
      <c r="L871" s="28">
        <f t="shared" si="55"/>
        <v>0</v>
      </c>
    </row>
    <row r="872" spans="8:12" x14ac:dyDescent="0.25">
      <c r="H872" s="27">
        <f t="shared" si="52"/>
        <v>0</v>
      </c>
      <c r="J872" s="28">
        <f t="shared" si="53"/>
        <v>0</v>
      </c>
      <c r="K872" s="29">
        <f t="shared" si="54"/>
        <v>0</v>
      </c>
      <c r="L872" s="28">
        <f t="shared" si="55"/>
        <v>0</v>
      </c>
    </row>
    <row r="873" spans="8:12" x14ac:dyDescent="0.25">
      <c r="H873" s="27">
        <f t="shared" si="52"/>
        <v>0</v>
      </c>
      <c r="J873" s="28">
        <f t="shared" si="53"/>
        <v>0</v>
      </c>
      <c r="K873" s="29">
        <f t="shared" si="54"/>
        <v>0</v>
      </c>
      <c r="L873" s="28">
        <f t="shared" si="55"/>
        <v>0</v>
      </c>
    </row>
    <row r="874" spans="8:12" x14ac:dyDescent="0.25">
      <c r="H874" s="27">
        <f t="shared" si="52"/>
        <v>0</v>
      </c>
      <c r="J874" s="28">
        <f t="shared" si="53"/>
        <v>0</v>
      </c>
      <c r="K874" s="29">
        <f t="shared" si="54"/>
        <v>0</v>
      </c>
      <c r="L874" s="28">
        <f t="shared" si="55"/>
        <v>0</v>
      </c>
    </row>
    <row r="875" spans="8:12" x14ac:dyDescent="0.25">
      <c r="H875" s="27">
        <f t="shared" si="52"/>
        <v>0</v>
      </c>
      <c r="J875" s="28">
        <f t="shared" si="53"/>
        <v>0</v>
      </c>
      <c r="K875" s="29">
        <f t="shared" si="54"/>
        <v>0</v>
      </c>
      <c r="L875" s="28">
        <f t="shared" si="55"/>
        <v>0</v>
      </c>
    </row>
    <row r="876" spans="8:12" x14ac:dyDescent="0.25">
      <c r="H876" s="27">
        <f t="shared" si="52"/>
        <v>0</v>
      </c>
      <c r="J876" s="28">
        <f t="shared" si="53"/>
        <v>0</v>
      </c>
      <c r="K876" s="29">
        <f t="shared" si="54"/>
        <v>0</v>
      </c>
      <c r="L876" s="28">
        <f t="shared" si="55"/>
        <v>0</v>
      </c>
    </row>
    <row r="877" spans="8:12" x14ac:dyDescent="0.25">
      <c r="H877" s="27">
        <f t="shared" si="52"/>
        <v>0</v>
      </c>
      <c r="J877" s="28">
        <f t="shared" si="53"/>
        <v>0</v>
      </c>
      <c r="K877" s="29">
        <f t="shared" si="54"/>
        <v>0</v>
      </c>
      <c r="L877" s="28">
        <f t="shared" si="55"/>
        <v>0</v>
      </c>
    </row>
    <row r="878" spans="8:12" x14ac:dyDescent="0.25">
      <c r="H878" s="27">
        <f t="shared" si="52"/>
        <v>0</v>
      </c>
      <c r="J878" s="28">
        <f t="shared" si="53"/>
        <v>0</v>
      </c>
      <c r="K878" s="29">
        <f t="shared" si="54"/>
        <v>0</v>
      </c>
      <c r="L878" s="28">
        <f t="shared" si="55"/>
        <v>0</v>
      </c>
    </row>
    <row r="879" spans="8:12" x14ac:dyDescent="0.25">
      <c r="H879" s="27">
        <f t="shared" si="52"/>
        <v>0</v>
      </c>
      <c r="J879" s="28">
        <f t="shared" si="53"/>
        <v>0</v>
      </c>
      <c r="K879" s="29">
        <f t="shared" si="54"/>
        <v>0</v>
      </c>
      <c r="L879" s="28">
        <f t="shared" si="55"/>
        <v>0</v>
      </c>
    </row>
    <row r="880" spans="8:12" x14ac:dyDescent="0.25">
      <c r="H880" s="27">
        <f t="shared" si="52"/>
        <v>0</v>
      </c>
      <c r="J880" s="28">
        <f t="shared" si="53"/>
        <v>0</v>
      </c>
      <c r="K880" s="29">
        <f t="shared" si="54"/>
        <v>0</v>
      </c>
      <c r="L880" s="28">
        <f t="shared" si="55"/>
        <v>0</v>
      </c>
    </row>
    <row r="881" spans="8:12" x14ac:dyDescent="0.25">
      <c r="H881" s="27">
        <f t="shared" si="52"/>
        <v>0</v>
      </c>
      <c r="J881" s="28">
        <f t="shared" si="53"/>
        <v>0</v>
      </c>
      <c r="K881" s="29">
        <f t="shared" si="54"/>
        <v>0</v>
      </c>
      <c r="L881" s="28">
        <f t="shared" si="55"/>
        <v>0</v>
      </c>
    </row>
    <row r="882" spans="8:12" x14ac:dyDescent="0.25">
      <c r="H882" s="27">
        <f t="shared" si="52"/>
        <v>0</v>
      </c>
      <c r="J882" s="28">
        <f t="shared" si="53"/>
        <v>0</v>
      </c>
      <c r="K882" s="29">
        <f t="shared" si="54"/>
        <v>0</v>
      </c>
      <c r="L882" s="28">
        <f t="shared" si="55"/>
        <v>0</v>
      </c>
    </row>
    <row r="883" spans="8:12" x14ac:dyDescent="0.25">
      <c r="H883" s="27">
        <f t="shared" si="52"/>
        <v>0</v>
      </c>
      <c r="J883" s="28">
        <f t="shared" si="53"/>
        <v>0</v>
      </c>
      <c r="K883" s="29">
        <f t="shared" si="54"/>
        <v>0</v>
      </c>
      <c r="L883" s="28">
        <f t="shared" si="55"/>
        <v>0</v>
      </c>
    </row>
    <row r="884" spans="8:12" x14ac:dyDescent="0.25">
      <c r="H884" s="27">
        <f t="shared" si="52"/>
        <v>0</v>
      </c>
      <c r="J884" s="28">
        <f t="shared" si="53"/>
        <v>0</v>
      </c>
      <c r="K884" s="29">
        <f t="shared" si="54"/>
        <v>0</v>
      </c>
      <c r="L884" s="28">
        <f t="shared" si="55"/>
        <v>0</v>
      </c>
    </row>
    <row r="885" spans="8:12" x14ac:dyDescent="0.25">
      <c r="H885" s="27">
        <f t="shared" si="52"/>
        <v>0</v>
      </c>
      <c r="J885" s="28">
        <f t="shared" si="53"/>
        <v>0</v>
      </c>
      <c r="K885" s="29">
        <f t="shared" si="54"/>
        <v>0</v>
      </c>
      <c r="L885" s="28">
        <f t="shared" si="55"/>
        <v>0</v>
      </c>
    </row>
    <row r="886" spans="8:12" x14ac:dyDescent="0.25">
      <c r="H886" s="27">
        <f t="shared" si="52"/>
        <v>0</v>
      </c>
      <c r="J886" s="28">
        <f t="shared" si="53"/>
        <v>0</v>
      </c>
      <c r="K886" s="29">
        <f t="shared" si="54"/>
        <v>0</v>
      </c>
      <c r="L886" s="28">
        <f t="shared" si="55"/>
        <v>0</v>
      </c>
    </row>
    <row r="887" spans="8:12" x14ac:dyDescent="0.25">
      <c r="H887" s="27">
        <f t="shared" si="52"/>
        <v>0</v>
      </c>
      <c r="J887" s="28">
        <f t="shared" si="53"/>
        <v>0</v>
      </c>
      <c r="K887" s="29">
        <f t="shared" si="54"/>
        <v>0</v>
      </c>
      <c r="L887" s="28">
        <f t="shared" si="55"/>
        <v>0</v>
      </c>
    </row>
    <row r="888" spans="8:12" x14ac:dyDescent="0.25">
      <c r="H888" s="27">
        <f t="shared" si="52"/>
        <v>0</v>
      </c>
      <c r="J888" s="28">
        <f t="shared" si="53"/>
        <v>0</v>
      </c>
      <c r="K888" s="29">
        <f t="shared" si="54"/>
        <v>0</v>
      </c>
      <c r="L888" s="28">
        <f t="shared" si="55"/>
        <v>0</v>
      </c>
    </row>
    <row r="889" spans="8:12" x14ac:dyDescent="0.25">
      <c r="H889" s="27">
        <f t="shared" si="52"/>
        <v>0</v>
      </c>
      <c r="J889" s="28">
        <f t="shared" si="53"/>
        <v>0</v>
      </c>
      <c r="K889" s="29">
        <f t="shared" si="54"/>
        <v>0</v>
      </c>
      <c r="L889" s="28">
        <f t="shared" si="55"/>
        <v>0</v>
      </c>
    </row>
    <row r="890" spans="8:12" x14ac:dyDescent="0.25">
      <c r="H890" s="27">
        <f t="shared" si="52"/>
        <v>0</v>
      </c>
      <c r="J890" s="28">
        <f t="shared" si="53"/>
        <v>0</v>
      </c>
      <c r="K890" s="29">
        <f t="shared" si="54"/>
        <v>0</v>
      </c>
      <c r="L890" s="28">
        <f t="shared" si="55"/>
        <v>0</v>
      </c>
    </row>
    <row r="891" spans="8:12" x14ac:dyDescent="0.25">
      <c r="H891" s="27">
        <f t="shared" si="52"/>
        <v>0</v>
      </c>
      <c r="J891" s="28">
        <f t="shared" si="53"/>
        <v>0</v>
      </c>
      <c r="K891" s="29">
        <f t="shared" si="54"/>
        <v>0</v>
      </c>
      <c r="L891" s="28">
        <f t="shared" si="55"/>
        <v>0</v>
      </c>
    </row>
    <row r="892" spans="8:12" x14ac:dyDescent="0.25">
      <c r="H892" s="27">
        <f t="shared" si="52"/>
        <v>0</v>
      </c>
      <c r="J892" s="28">
        <f t="shared" si="53"/>
        <v>0</v>
      </c>
      <c r="K892" s="29">
        <f t="shared" si="54"/>
        <v>0</v>
      </c>
      <c r="L892" s="28">
        <f t="shared" si="55"/>
        <v>0</v>
      </c>
    </row>
    <row r="893" spans="8:12" x14ac:dyDescent="0.25">
      <c r="H893" s="27">
        <f t="shared" si="52"/>
        <v>0</v>
      </c>
      <c r="J893" s="28">
        <f t="shared" si="53"/>
        <v>0</v>
      </c>
      <c r="K893" s="29">
        <f t="shared" si="54"/>
        <v>0</v>
      </c>
      <c r="L893" s="28">
        <f t="shared" si="55"/>
        <v>0</v>
      </c>
    </row>
    <row r="894" spans="8:12" x14ac:dyDescent="0.25">
      <c r="H894" s="27">
        <f t="shared" si="52"/>
        <v>0</v>
      </c>
      <c r="J894" s="28">
        <f t="shared" si="53"/>
        <v>0</v>
      </c>
      <c r="K894" s="29">
        <f t="shared" si="54"/>
        <v>0</v>
      </c>
      <c r="L894" s="28">
        <f t="shared" si="55"/>
        <v>0</v>
      </c>
    </row>
    <row r="895" spans="8:12" x14ac:dyDescent="0.25">
      <c r="H895" s="27">
        <f t="shared" si="52"/>
        <v>0</v>
      </c>
      <c r="J895" s="28">
        <f t="shared" si="53"/>
        <v>0</v>
      </c>
      <c r="K895" s="29">
        <f t="shared" si="54"/>
        <v>0</v>
      </c>
      <c r="L895" s="28">
        <f t="shared" si="55"/>
        <v>0</v>
      </c>
    </row>
    <row r="896" spans="8:12" x14ac:dyDescent="0.25">
      <c r="H896" s="27">
        <f t="shared" si="52"/>
        <v>0</v>
      </c>
      <c r="J896" s="28">
        <f t="shared" si="53"/>
        <v>0</v>
      </c>
      <c r="K896" s="29">
        <f t="shared" si="54"/>
        <v>0</v>
      </c>
      <c r="L896" s="28">
        <f t="shared" si="55"/>
        <v>0</v>
      </c>
    </row>
    <row r="897" spans="8:12" x14ac:dyDescent="0.25">
      <c r="H897" s="27">
        <f t="shared" si="52"/>
        <v>0</v>
      </c>
      <c r="J897" s="28">
        <f t="shared" si="53"/>
        <v>0</v>
      </c>
      <c r="K897" s="29">
        <f t="shared" si="54"/>
        <v>0</v>
      </c>
      <c r="L897" s="28">
        <f t="shared" si="55"/>
        <v>0</v>
      </c>
    </row>
    <row r="898" spans="8:12" x14ac:dyDescent="0.25">
      <c r="H898" s="27">
        <f t="shared" ref="H898:H961" si="56">E898*F898</f>
        <v>0</v>
      </c>
      <c r="J898" s="28">
        <f t="shared" ref="J898:J961" si="57">I898*H898</f>
        <v>0</v>
      </c>
      <c r="K898" s="29">
        <f t="shared" ref="K898:K961" si="58">IF(M898="товар",$Q$4, IF(M898="м/к",$Q$2,IF(M898="комп",$Q$3,IF(M898="услуга",$Q$5,0))))</f>
        <v>0</v>
      </c>
      <c r="L898" s="28">
        <f t="shared" ref="L898:L961" si="59">(1+K898)*J898</f>
        <v>0</v>
      </c>
    </row>
    <row r="899" spans="8:12" x14ac:dyDescent="0.25">
      <c r="H899" s="27">
        <f t="shared" si="56"/>
        <v>0</v>
      </c>
      <c r="J899" s="28">
        <f t="shared" si="57"/>
        <v>0</v>
      </c>
      <c r="K899" s="29">
        <f t="shared" si="58"/>
        <v>0</v>
      </c>
      <c r="L899" s="28">
        <f t="shared" si="59"/>
        <v>0</v>
      </c>
    </row>
    <row r="900" spans="8:12" x14ac:dyDescent="0.25">
      <c r="H900" s="27">
        <f t="shared" si="56"/>
        <v>0</v>
      </c>
      <c r="J900" s="28">
        <f t="shared" si="57"/>
        <v>0</v>
      </c>
      <c r="K900" s="29">
        <f t="shared" si="58"/>
        <v>0</v>
      </c>
      <c r="L900" s="28">
        <f t="shared" si="59"/>
        <v>0</v>
      </c>
    </row>
    <row r="901" spans="8:12" x14ac:dyDescent="0.25">
      <c r="H901" s="27">
        <f t="shared" si="56"/>
        <v>0</v>
      </c>
      <c r="J901" s="28">
        <f t="shared" si="57"/>
        <v>0</v>
      </c>
      <c r="K901" s="29">
        <f t="shared" si="58"/>
        <v>0</v>
      </c>
      <c r="L901" s="28">
        <f t="shared" si="59"/>
        <v>0</v>
      </c>
    </row>
    <row r="902" spans="8:12" x14ac:dyDescent="0.25">
      <c r="H902" s="27">
        <f t="shared" si="56"/>
        <v>0</v>
      </c>
      <c r="J902" s="28">
        <f t="shared" si="57"/>
        <v>0</v>
      </c>
      <c r="K902" s="29">
        <f t="shared" si="58"/>
        <v>0</v>
      </c>
      <c r="L902" s="28">
        <f t="shared" si="59"/>
        <v>0</v>
      </c>
    </row>
    <row r="903" spans="8:12" x14ac:dyDescent="0.25">
      <c r="H903" s="27">
        <f t="shared" si="56"/>
        <v>0</v>
      </c>
      <c r="J903" s="28">
        <f t="shared" si="57"/>
        <v>0</v>
      </c>
      <c r="K903" s="29">
        <f t="shared" si="58"/>
        <v>0</v>
      </c>
      <c r="L903" s="28">
        <f t="shared" si="59"/>
        <v>0</v>
      </c>
    </row>
    <row r="904" spans="8:12" x14ac:dyDescent="0.25">
      <c r="H904" s="27">
        <f t="shared" si="56"/>
        <v>0</v>
      </c>
      <c r="J904" s="28">
        <f t="shared" si="57"/>
        <v>0</v>
      </c>
      <c r="K904" s="29">
        <f t="shared" si="58"/>
        <v>0</v>
      </c>
      <c r="L904" s="28">
        <f t="shared" si="59"/>
        <v>0</v>
      </c>
    </row>
    <row r="905" spans="8:12" x14ac:dyDescent="0.25">
      <c r="H905" s="27">
        <f t="shared" si="56"/>
        <v>0</v>
      </c>
      <c r="J905" s="28">
        <f t="shared" si="57"/>
        <v>0</v>
      </c>
      <c r="K905" s="29">
        <f t="shared" si="58"/>
        <v>0</v>
      </c>
      <c r="L905" s="28">
        <f t="shared" si="59"/>
        <v>0</v>
      </c>
    </row>
    <row r="906" spans="8:12" x14ac:dyDescent="0.25">
      <c r="H906" s="27">
        <f t="shared" si="56"/>
        <v>0</v>
      </c>
      <c r="J906" s="28">
        <f t="shared" si="57"/>
        <v>0</v>
      </c>
      <c r="K906" s="29">
        <f t="shared" si="58"/>
        <v>0</v>
      </c>
      <c r="L906" s="28">
        <f t="shared" si="59"/>
        <v>0</v>
      </c>
    </row>
    <row r="907" spans="8:12" x14ac:dyDescent="0.25">
      <c r="H907" s="27">
        <f t="shared" si="56"/>
        <v>0</v>
      </c>
      <c r="J907" s="28">
        <f t="shared" si="57"/>
        <v>0</v>
      </c>
      <c r="K907" s="29">
        <f t="shared" si="58"/>
        <v>0</v>
      </c>
      <c r="L907" s="28">
        <f t="shared" si="59"/>
        <v>0</v>
      </c>
    </row>
    <row r="908" spans="8:12" x14ac:dyDescent="0.25">
      <c r="H908" s="27">
        <f t="shared" si="56"/>
        <v>0</v>
      </c>
      <c r="J908" s="28">
        <f t="shared" si="57"/>
        <v>0</v>
      </c>
      <c r="K908" s="29">
        <f t="shared" si="58"/>
        <v>0</v>
      </c>
      <c r="L908" s="28">
        <f t="shared" si="59"/>
        <v>0</v>
      </c>
    </row>
    <row r="909" spans="8:12" x14ac:dyDescent="0.25">
      <c r="H909" s="27">
        <f t="shared" si="56"/>
        <v>0</v>
      </c>
      <c r="J909" s="28">
        <f t="shared" si="57"/>
        <v>0</v>
      </c>
      <c r="K909" s="29">
        <f t="shared" si="58"/>
        <v>0</v>
      </c>
      <c r="L909" s="28">
        <f t="shared" si="59"/>
        <v>0</v>
      </c>
    </row>
    <row r="910" spans="8:12" x14ac:dyDescent="0.25">
      <c r="H910" s="27">
        <f t="shared" si="56"/>
        <v>0</v>
      </c>
      <c r="J910" s="28">
        <f t="shared" si="57"/>
        <v>0</v>
      </c>
      <c r="K910" s="29">
        <f t="shared" si="58"/>
        <v>0</v>
      </c>
      <c r="L910" s="28">
        <f t="shared" si="59"/>
        <v>0</v>
      </c>
    </row>
    <row r="911" spans="8:12" x14ac:dyDescent="0.25">
      <c r="H911" s="27">
        <f t="shared" si="56"/>
        <v>0</v>
      </c>
      <c r="J911" s="28">
        <f t="shared" si="57"/>
        <v>0</v>
      </c>
      <c r="K911" s="29">
        <f t="shared" si="58"/>
        <v>0</v>
      </c>
      <c r="L911" s="28">
        <f t="shared" si="59"/>
        <v>0</v>
      </c>
    </row>
    <row r="912" spans="8:12" x14ac:dyDescent="0.25">
      <c r="H912" s="27">
        <f t="shared" si="56"/>
        <v>0</v>
      </c>
      <c r="J912" s="28">
        <f t="shared" si="57"/>
        <v>0</v>
      </c>
      <c r="K912" s="29">
        <f t="shared" si="58"/>
        <v>0</v>
      </c>
      <c r="L912" s="28">
        <f t="shared" si="59"/>
        <v>0</v>
      </c>
    </row>
    <row r="913" spans="8:12" x14ac:dyDescent="0.25">
      <c r="H913" s="27">
        <f t="shared" si="56"/>
        <v>0</v>
      </c>
      <c r="J913" s="28">
        <f t="shared" si="57"/>
        <v>0</v>
      </c>
      <c r="K913" s="29">
        <f t="shared" si="58"/>
        <v>0</v>
      </c>
      <c r="L913" s="28">
        <f t="shared" si="59"/>
        <v>0</v>
      </c>
    </row>
    <row r="914" spans="8:12" x14ac:dyDescent="0.25">
      <c r="H914" s="27">
        <f t="shared" si="56"/>
        <v>0</v>
      </c>
      <c r="J914" s="28">
        <f t="shared" si="57"/>
        <v>0</v>
      </c>
      <c r="K914" s="29">
        <f t="shared" si="58"/>
        <v>0</v>
      </c>
      <c r="L914" s="28">
        <f t="shared" si="59"/>
        <v>0</v>
      </c>
    </row>
    <row r="915" spans="8:12" x14ac:dyDescent="0.25">
      <c r="H915" s="27">
        <f t="shared" si="56"/>
        <v>0</v>
      </c>
      <c r="J915" s="28">
        <f t="shared" si="57"/>
        <v>0</v>
      </c>
      <c r="K915" s="29">
        <f t="shared" si="58"/>
        <v>0</v>
      </c>
      <c r="L915" s="28">
        <f t="shared" si="59"/>
        <v>0</v>
      </c>
    </row>
    <row r="916" spans="8:12" x14ac:dyDescent="0.25">
      <c r="H916" s="27">
        <f t="shared" si="56"/>
        <v>0</v>
      </c>
      <c r="J916" s="28">
        <f t="shared" si="57"/>
        <v>0</v>
      </c>
      <c r="K916" s="29">
        <f t="shared" si="58"/>
        <v>0</v>
      </c>
      <c r="L916" s="28">
        <f t="shared" si="59"/>
        <v>0</v>
      </c>
    </row>
    <row r="917" spans="8:12" x14ac:dyDescent="0.25">
      <c r="H917" s="27">
        <f t="shared" si="56"/>
        <v>0</v>
      </c>
      <c r="J917" s="28">
        <f t="shared" si="57"/>
        <v>0</v>
      </c>
      <c r="K917" s="29">
        <f t="shared" si="58"/>
        <v>0</v>
      </c>
      <c r="L917" s="28">
        <f t="shared" si="59"/>
        <v>0</v>
      </c>
    </row>
    <row r="918" spans="8:12" x14ac:dyDescent="0.25">
      <c r="H918" s="27">
        <f t="shared" si="56"/>
        <v>0</v>
      </c>
      <c r="J918" s="28">
        <f t="shared" si="57"/>
        <v>0</v>
      </c>
      <c r="K918" s="29">
        <f t="shared" si="58"/>
        <v>0</v>
      </c>
      <c r="L918" s="28">
        <f t="shared" si="59"/>
        <v>0</v>
      </c>
    </row>
    <row r="919" spans="8:12" x14ac:dyDescent="0.25">
      <c r="H919" s="27">
        <f t="shared" si="56"/>
        <v>0</v>
      </c>
      <c r="J919" s="28">
        <f t="shared" si="57"/>
        <v>0</v>
      </c>
      <c r="K919" s="29">
        <f t="shared" si="58"/>
        <v>0</v>
      </c>
      <c r="L919" s="28">
        <f t="shared" si="59"/>
        <v>0</v>
      </c>
    </row>
    <row r="920" spans="8:12" x14ac:dyDescent="0.25">
      <c r="H920" s="27">
        <f t="shared" si="56"/>
        <v>0</v>
      </c>
      <c r="J920" s="28">
        <f t="shared" si="57"/>
        <v>0</v>
      </c>
      <c r="K920" s="29">
        <f t="shared" si="58"/>
        <v>0</v>
      </c>
      <c r="L920" s="28">
        <f t="shared" si="59"/>
        <v>0</v>
      </c>
    </row>
    <row r="921" spans="8:12" x14ac:dyDescent="0.25">
      <c r="H921" s="27">
        <f t="shared" si="56"/>
        <v>0</v>
      </c>
      <c r="J921" s="28">
        <f t="shared" si="57"/>
        <v>0</v>
      </c>
      <c r="K921" s="29">
        <f t="shared" si="58"/>
        <v>0</v>
      </c>
      <c r="L921" s="28">
        <f t="shared" si="59"/>
        <v>0</v>
      </c>
    </row>
    <row r="922" spans="8:12" x14ac:dyDescent="0.25">
      <c r="H922" s="27">
        <f t="shared" si="56"/>
        <v>0</v>
      </c>
      <c r="J922" s="28">
        <f t="shared" si="57"/>
        <v>0</v>
      </c>
      <c r="K922" s="29">
        <f t="shared" si="58"/>
        <v>0</v>
      </c>
      <c r="L922" s="28">
        <f t="shared" si="59"/>
        <v>0</v>
      </c>
    </row>
    <row r="923" spans="8:12" x14ac:dyDescent="0.25">
      <c r="H923" s="27">
        <f t="shared" si="56"/>
        <v>0</v>
      </c>
      <c r="J923" s="28">
        <f t="shared" si="57"/>
        <v>0</v>
      </c>
      <c r="K923" s="29">
        <f t="shared" si="58"/>
        <v>0</v>
      </c>
      <c r="L923" s="28">
        <f t="shared" si="59"/>
        <v>0</v>
      </c>
    </row>
    <row r="924" spans="8:12" x14ac:dyDescent="0.25">
      <c r="H924" s="27">
        <f t="shared" si="56"/>
        <v>0</v>
      </c>
      <c r="J924" s="28">
        <f t="shared" si="57"/>
        <v>0</v>
      </c>
      <c r="K924" s="29">
        <f t="shared" si="58"/>
        <v>0</v>
      </c>
      <c r="L924" s="28">
        <f t="shared" si="59"/>
        <v>0</v>
      </c>
    </row>
    <row r="925" spans="8:12" x14ac:dyDescent="0.25">
      <c r="H925" s="27">
        <f t="shared" si="56"/>
        <v>0</v>
      </c>
      <c r="J925" s="28">
        <f t="shared" si="57"/>
        <v>0</v>
      </c>
      <c r="K925" s="29">
        <f t="shared" si="58"/>
        <v>0</v>
      </c>
      <c r="L925" s="28">
        <f t="shared" si="59"/>
        <v>0</v>
      </c>
    </row>
    <row r="926" spans="8:12" x14ac:dyDescent="0.25">
      <c r="H926" s="27">
        <f t="shared" si="56"/>
        <v>0</v>
      </c>
      <c r="J926" s="28">
        <f t="shared" si="57"/>
        <v>0</v>
      </c>
      <c r="K926" s="29">
        <f t="shared" si="58"/>
        <v>0</v>
      </c>
      <c r="L926" s="28">
        <f t="shared" si="59"/>
        <v>0</v>
      </c>
    </row>
    <row r="927" spans="8:12" x14ac:dyDescent="0.25">
      <c r="H927" s="27">
        <f t="shared" si="56"/>
        <v>0</v>
      </c>
      <c r="J927" s="28">
        <f t="shared" si="57"/>
        <v>0</v>
      </c>
      <c r="K927" s="29">
        <f t="shared" si="58"/>
        <v>0</v>
      </c>
      <c r="L927" s="28">
        <f t="shared" si="59"/>
        <v>0</v>
      </c>
    </row>
    <row r="928" spans="8:12" x14ac:dyDescent="0.25">
      <c r="H928" s="27">
        <f t="shared" si="56"/>
        <v>0</v>
      </c>
      <c r="J928" s="28">
        <f t="shared" si="57"/>
        <v>0</v>
      </c>
      <c r="K928" s="29">
        <f t="shared" si="58"/>
        <v>0</v>
      </c>
      <c r="L928" s="28">
        <f t="shared" si="59"/>
        <v>0</v>
      </c>
    </row>
    <row r="929" spans="8:12" x14ac:dyDescent="0.25">
      <c r="H929" s="27">
        <f t="shared" si="56"/>
        <v>0</v>
      </c>
      <c r="J929" s="28">
        <f t="shared" si="57"/>
        <v>0</v>
      </c>
      <c r="K929" s="29">
        <f t="shared" si="58"/>
        <v>0</v>
      </c>
      <c r="L929" s="28">
        <f t="shared" si="59"/>
        <v>0</v>
      </c>
    </row>
    <row r="930" spans="8:12" x14ac:dyDescent="0.25">
      <c r="H930" s="27">
        <f t="shared" si="56"/>
        <v>0</v>
      </c>
      <c r="J930" s="28">
        <f t="shared" si="57"/>
        <v>0</v>
      </c>
      <c r="K930" s="29">
        <f t="shared" si="58"/>
        <v>0</v>
      </c>
      <c r="L930" s="28">
        <f t="shared" si="59"/>
        <v>0</v>
      </c>
    </row>
    <row r="931" spans="8:12" x14ac:dyDescent="0.25">
      <c r="H931" s="27">
        <f t="shared" si="56"/>
        <v>0</v>
      </c>
      <c r="J931" s="28">
        <f t="shared" si="57"/>
        <v>0</v>
      </c>
      <c r="K931" s="29">
        <f t="shared" si="58"/>
        <v>0</v>
      </c>
      <c r="L931" s="28">
        <f t="shared" si="59"/>
        <v>0</v>
      </c>
    </row>
    <row r="932" spans="8:12" x14ac:dyDescent="0.25">
      <c r="H932" s="27">
        <f t="shared" si="56"/>
        <v>0</v>
      </c>
      <c r="J932" s="28">
        <f t="shared" si="57"/>
        <v>0</v>
      </c>
      <c r="K932" s="29">
        <f t="shared" si="58"/>
        <v>0</v>
      </c>
      <c r="L932" s="28">
        <f t="shared" si="59"/>
        <v>0</v>
      </c>
    </row>
    <row r="933" spans="8:12" x14ac:dyDescent="0.25">
      <c r="H933" s="27">
        <f t="shared" si="56"/>
        <v>0</v>
      </c>
      <c r="J933" s="28">
        <f t="shared" si="57"/>
        <v>0</v>
      </c>
      <c r="K933" s="29">
        <f t="shared" si="58"/>
        <v>0</v>
      </c>
      <c r="L933" s="28">
        <f t="shared" si="59"/>
        <v>0</v>
      </c>
    </row>
    <row r="934" spans="8:12" x14ac:dyDescent="0.25">
      <c r="H934" s="27">
        <f t="shared" si="56"/>
        <v>0</v>
      </c>
      <c r="J934" s="28">
        <f t="shared" si="57"/>
        <v>0</v>
      </c>
      <c r="K934" s="29">
        <f t="shared" si="58"/>
        <v>0</v>
      </c>
      <c r="L934" s="28">
        <f t="shared" si="59"/>
        <v>0</v>
      </c>
    </row>
    <row r="935" spans="8:12" x14ac:dyDescent="0.25">
      <c r="H935" s="27">
        <f t="shared" si="56"/>
        <v>0</v>
      </c>
      <c r="J935" s="28">
        <f t="shared" si="57"/>
        <v>0</v>
      </c>
      <c r="K935" s="29">
        <f t="shared" si="58"/>
        <v>0</v>
      </c>
      <c r="L935" s="28">
        <f t="shared" si="59"/>
        <v>0</v>
      </c>
    </row>
    <row r="936" spans="8:12" x14ac:dyDescent="0.25">
      <c r="H936" s="27">
        <f t="shared" si="56"/>
        <v>0</v>
      </c>
      <c r="J936" s="28">
        <f t="shared" si="57"/>
        <v>0</v>
      </c>
      <c r="K936" s="29">
        <f t="shared" si="58"/>
        <v>0</v>
      </c>
      <c r="L936" s="28">
        <f t="shared" si="59"/>
        <v>0</v>
      </c>
    </row>
    <row r="937" spans="8:12" x14ac:dyDescent="0.25">
      <c r="H937" s="27">
        <f t="shared" si="56"/>
        <v>0</v>
      </c>
      <c r="J937" s="28">
        <f t="shared" si="57"/>
        <v>0</v>
      </c>
      <c r="K937" s="29">
        <f t="shared" si="58"/>
        <v>0</v>
      </c>
      <c r="L937" s="28">
        <f t="shared" si="59"/>
        <v>0</v>
      </c>
    </row>
    <row r="938" spans="8:12" x14ac:dyDescent="0.25">
      <c r="H938" s="27">
        <f t="shared" si="56"/>
        <v>0</v>
      </c>
      <c r="J938" s="28">
        <f t="shared" si="57"/>
        <v>0</v>
      </c>
      <c r="K938" s="29">
        <f t="shared" si="58"/>
        <v>0</v>
      </c>
      <c r="L938" s="28">
        <f t="shared" si="59"/>
        <v>0</v>
      </c>
    </row>
    <row r="939" spans="8:12" x14ac:dyDescent="0.25">
      <c r="H939" s="27">
        <f t="shared" si="56"/>
        <v>0</v>
      </c>
      <c r="J939" s="28">
        <f t="shared" si="57"/>
        <v>0</v>
      </c>
      <c r="K939" s="29">
        <f t="shared" si="58"/>
        <v>0</v>
      </c>
      <c r="L939" s="28">
        <f t="shared" si="59"/>
        <v>0</v>
      </c>
    </row>
    <row r="940" spans="8:12" x14ac:dyDescent="0.25">
      <c r="H940" s="27">
        <f t="shared" si="56"/>
        <v>0</v>
      </c>
      <c r="J940" s="28">
        <f t="shared" si="57"/>
        <v>0</v>
      </c>
      <c r="K940" s="29">
        <f t="shared" si="58"/>
        <v>0</v>
      </c>
      <c r="L940" s="28">
        <f t="shared" si="59"/>
        <v>0</v>
      </c>
    </row>
    <row r="941" spans="8:12" x14ac:dyDescent="0.25">
      <c r="H941" s="27">
        <f t="shared" si="56"/>
        <v>0</v>
      </c>
      <c r="J941" s="28">
        <f t="shared" si="57"/>
        <v>0</v>
      </c>
      <c r="K941" s="29">
        <f t="shared" si="58"/>
        <v>0</v>
      </c>
      <c r="L941" s="28">
        <f t="shared" si="59"/>
        <v>0</v>
      </c>
    </row>
    <row r="942" spans="8:12" x14ac:dyDescent="0.25">
      <c r="H942" s="27">
        <f t="shared" si="56"/>
        <v>0</v>
      </c>
      <c r="J942" s="28">
        <f t="shared" si="57"/>
        <v>0</v>
      </c>
      <c r="K942" s="29">
        <f t="shared" si="58"/>
        <v>0</v>
      </c>
      <c r="L942" s="28">
        <f t="shared" si="59"/>
        <v>0</v>
      </c>
    </row>
    <row r="943" spans="8:12" x14ac:dyDescent="0.25">
      <c r="H943" s="27">
        <f t="shared" si="56"/>
        <v>0</v>
      </c>
      <c r="J943" s="28">
        <f t="shared" si="57"/>
        <v>0</v>
      </c>
      <c r="K943" s="29">
        <f t="shared" si="58"/>
        <v>0</v>
      </c>
      <c r="L943" s="28">
        <f t="shared" si="59"/>
        <v>0</v>
      </c>
    </row>
    <row r="944" spans="8:12" x14ac:dyDescent="0.25">
      <c r="H944" s="27">
        <f t="shared" si="56"/>
        <v>0</v>
      </c>
      <c r="J944" s="28">
        <f t="shared" si="57"/>
        <v>0</v>
      </c>
      <c r="K944" s="29">
        <f t="shared" si="58"/>
        <v>0</v>
      </c>
      <c r="L944" s="28">
        <f t="shared" si="59"/>
        <v>0</v>
      </c>
    </row>
    <row r="945" spans="8:12" x14ac:dyDescent="0.25">
      <c r="H945" s="27">
        <f t="shared" si="56"/>
        <v>0</v>
      </c>
      <c r="J945" s="28">
        <f t="shared" si="57"/>
        <v>0</v>
      </c>
      <c r="K945" s="29">
        <f t="shared" si="58"/>
        <v>0</v>
      </c>
      <c r="L945" s="28">
        <f t="shared" si="59"/>
        <v>0</v>
      </c>
    </row>
    <row r="946" spans="8:12" x14ac:dyDescent="0.25">
      <c r="H946" s="27">
        <f t="shared" si="56"/>
        <v>0</v>
      </c>
      <c r="J946" s="28">
        <f t="shared" si="57"/>
        <v>0</v>
      </c>
      <c r="K946" s="29">
        <f t="shared" si="58"/>
        <v>0</v>
      </c>
      <c r="L946" s="28">
        <f t="shared" si="59"/>
        <v>0</v>
      </c>
    </row>
    <row r="947" spans="8:12" x14ac:dyDescent="0.25">
      <c r="H947" s="27">
        <f t="shared" si="56"/>
        <v>0</v>
      </c>
      <c r="J947" s="28">
        <f t="shared" si="57"/>
        <v>0</v>
      </c>
      <c r="K947" s="29">
        <f t="shared" si="58"/>
        <v>0</v>
      </c>
      <c r="L947" s="28">
        <f t="shared" si="59"/>
        <v>0</v>
      </c>
    </row>
    <row r="948" spans="8:12" x14ac:dyDescent="0.25">
      <c r="H948" s="27">
        <f t="shared" si="56"/>
        <v>0</v>
      </c>
      <c r="J948" s="28">
        <f t="shared" si="57"/>
        <v>0</v>
      </c>
      <c r="K948" s="29">
        <f t="shared" si="58"/>
        <v>0</v>
      </c>
      <c r="L948" s="28">
        <f t="shared" si="59"/>
        <v>0</v>
      </c>
    </row>
    <row r="949" spans="8:12" x14ac:dyDescent="0.25">
      <c r="H949" s="27">
        <f t="shared" si="56"/>
        <v>0</v>
      </c>
      <c r="J949" s="28">
        <f t="shared" si="57"/>
        <v>0</v>
      </c>
      <c r="K949" s="29">
        <f t="shared" si="58"/>
        <v>0</v>
      </c>
      <c r="L949" s="28">
        <f t="shared" si="59"/>
        <v>0</v>
      </c>
    </row>
    <row r="950" spans="8:12" x14ac:dyDescent="0.25">
      <c r="H950" s="27">
        <f t="shared" si="56"/>
        <v>0</v>
      </c>
      <c r="J950" s="28">
        <f t="shared" si="57"/>
        <v>0</v>
      </c>
      <c r="K950" s="29">
        <f t="shared" si="58"/>
        <v>0</v>
      </c>
      <c r="L950" s="28">
        <f t="shared" si="59"/>
        <v>0</v>
      </c>
    </row>
    <row r="951" spans="8:12" x14ac:dyDescent="0.25">
      <c r="H951" s="27">
        <f t="shared" si="56"/>
        <v>0</v>
      </c>
      <c r="J951" s="28">
        <f t="shared" si="57"/>
        <v>0</v>
      </c>
      <c r="K951" s="29">
        <f t="shared" si="58"/>
        <v>0</v>
      </c>
      <c r="L951" s="28">
        <f t="shared" si="59"/>
        <v>0</v>
      </c>
    </row>
    <row r="952" spans="8:12" x14ac:dyDescent="0.25">
      <c r="H952" s="27">
        <f t="shared" si="56"/>
        <v>0</v>
      </c>
      <c r="J952" s="28">
        <f t="shared" si="57"/>
        <v>0</v>
      </c>
      <c r="K952" s="29">
        <f t="shared" si="58"/>
        <v>0</v>
      </c>
      <c r="L952" s="28">
        <f t="shared" si="59"/>
        <v>0</v>
      </c>
    </row>
    <row r="953" spans="8:12" x14ac:dyDescent="0.25">
      <c r="H953" s="27">
        <f t="shared" si="56"/>
        <v>0</v>
      </c>
      <c r="J953" s="28">
        <f t="shared" si="57"/>
        <v>0</v>
      </c>
      <c r="K953" s="29">
        <f t="shared" si="58"/>
        <v>0</v>
      </c>
      <c r="L953" s="28">
        <f t="shared" si="59"/>
        <v>0</v>
      </c>
    </row>
    <row r="954" spans="8:12" x14ac:dyDescent="0.25">
      <c r="H954" s="27">
        <f t="shared" si="56"/>
        <v>0</v>
      </c>
      <c r="J954" s="28">
        <f t="shared" si="57"/>
        <v>0</v>
      </c>
      <c r="K954" s="29">
        <f t="shared" si="58"/>
        <v>0</v>
      </c>
      <c r="L954" s="28">
        <f t="shared" si="59"/>
        <v>0</v>
      </c>
    </row>
    <row r="955" spans="8:12" x14ac:dyDescent="0.25">
      <c r="H955" s="27">
        <f t="shared" si="56"/>
        <v>0</v>
      </c>
      <c r="J955" s="28">
        <f t="shared" si="57"/>
        <v>0</v>
      </c>
      <c r="K955" s="29">
        <f t="shared" si="58"/>
        <v>0</v>
      </c>
      <c r="L955" s="28">
        <f t="shared" si="59"/>
        <v>0</v>
      </c>
    </row>
    <row r="956" spans="8:12" x14ac:dyDescent="0.25">
      <c r="H956" s="27">
        <f t="shared" si="56"/>
        <v>0</v>
      </c>
      <c r="J956" s="28">
        <f t="shared" si="57"/>
        <v>0</v>
      </c>
      <c r="K956" s="29">
        <f t="shared" si="58"/>
        <v>0</v>
      </c>
      <c r="L956" s="28">
        <f t="shared" si="59"/>
        <v>0</v>
      </c>
    </row>
    <row r="957" spans="8:12" x14ac:dyDescent="0.25">
      <c r="H957" s="27">
        <f t="shared" si="56"/>
        <v>0</v>
      </c>
      <c r="J957" s="28">
        <f t="shared" si="57"/>
        <v>0</v>
      </c>
      <c r="K957" s="29">
        <f t="shared" si="58"/>
        <v>0</v>
      </c>
      <c r="L957" s="28">
        <f t="shared" si="59"/>
        <v>0</v>
      </c>
    </row>
    <row r="958" spans="8:12" x14ac:dyDescent="0.25">
      <c r="H958" s="27">
        <f t="shared" si="56"/>
        <v>0</v>
      </c>
      <c r="J958" s="28">
        <f t="shared" si="57"/>
        <v>0</v>
      </c>
      <c r="K958" s="29">
        <f t="shared" si="58"/>
        <v>0</v>
      </c>
      <c r="L958" s="28">
        <f t="shared" si="59"/>
        <v>0</v>
      </c>
    </row>
    <row r="959" spans="8:12" x14ac:dyDescent="0.25">
      <c r="H959" s="27">
        <f t="shared" si="56"/>
        <v>0</v>
      </c>
      <c r="J959" s="28">
        <f t="shared" si="57"/>
        <v>0</v>
      </c>
      <c r="K959" s="29">
        <f t="shared" si="58"/>
        <v>0</v>
      </c>
      <c r="L959" s="28">
        <f t="shared" si="59"/>
        <v>0</v>
      </c>
    </row>
    <row r="960" spans="8:12" x14ac:dyDescent="0.25">
      <c r="H960" s="27">
        <f t="shared" si="56"/>
        <v>0</v>
      </c>
      <c r="J960" s="28">
        <f t="shared" si="57"/>
        <v>0</v>
      </c>
      <c r="K960" s="29">
        <f t="shared" si="58"/>
        <v>0</v>
      </c>
      <c r="L960" s="28">
        <f t="shared" si="59"/>
        <v>0</v>
      </c>
    </row>
    <row r="961" spans="8:12" x14ac:dyDescent="0.25">
      <c r="H961" s="27">
        <f t="shared" si="56"/>
        <v>0</v>
      </c>
      <c r="J961" s="28">
        <f t="shared" si="57"/>
        <v>0</v>
      </c>
      <c r="K961" s="29">
        <f t="shared" si="58"/>
        <v>0</v>
      </c>
      <c r="L961" s="28">
        <f t="shared" si="59"/>
        <v>0</v>
      </c>
    </row>
    <row r="962" spans="8:12" x14ac:dyDescent="0.25">
      <c r="H962" s="27">
        <f t="shared" ref="H962:H1000" si="60">E962*F962</f>
        <v>0</v>
      </c>
      <c r="J962" s="28">
        <f t="shared" ref="J962:J1000" si="61">I962*H962</f>
        <v>0</v>
      </c>
      <c r="K962" s="29">
        <f t="shared" ref="K962:K1000" si="62">IF(M962="товар",$Q$4, IF(M962="м/к",$Q$2,IF(M962="комп",$Q$3,IF(M962="услуга",$Q$5,0))))</f>
        <v>0</v>
      </c>
      <c r="L962" s="28">
        <f t="shared" ref="L962:L1000" si="63">(1+K962)*J962</f>
        <v>0</v>
      </c>
    </row>
    <row r="963" spans="8:12" x14ac:dyDescent="0.25">
      <c r="H963" s="27">
        <f t="shared" si="60"/>
        <v>0</v>
      </c>
      <c r="J963" s="28">
        <f t="shared" si="61"/>
        <v>0</v>
      </c>
      <c r="K963" s="29">
        <f t="shared" si="62"/>
        <v>0</v>
      </c>
      <c r="L963" s="28">
        <f t="shared" si="63"/>
        <v>0</v>
      </c>
    </row>
    <row r="964" spans="8:12" x14ac:dyDescent="0.25">
      <c r="H964" s="27">
        <f t="shared" si="60"/>
        <v>0</v>
      </c>
      <c r="J964" s="28">
        <f t="shared" si="61"/>
        <v>0</v>
      </c>
      <c r="K964" s="29">
        <f t="shared" si="62"/>
        <v>0</v>
      </c>
      <c r="L964" s="28">
        <f t="shared" si="63"/>
        <v>0</v>
      </c>
    </row>
    <row r="965" spans="8:12" x14ac:dyDescent="0.25">
      <c r="H965" s="27">
        <f t="shared" si="60"/>
        <v>0</v>
      </c>
      <c r="J965" s="28">
        <f t="shared" si="61"/>
        <v>0</v>
      </c>
      <c r="K965" s="29">
        <f t="shared" si="62"/>
        <v>0</v>
      </c>
      <c r="L965" s="28">
        <f t="shared" si="63"/>
        <v>0</v>
      </c>
    </row>
    <row r="966" spans="8:12" x14ac:dyDescent="0.25">
      <c r="H966" s="27">
        <f t="shared" si="60"/>
        <v>0</v>
      </c>
      <c r="J966" s="28">
        <f t="shared" si="61"/>
        <v>0</v>
      </c>
      <c r="K966" s="29">
        <f t="shared" si="62"/>
        <v>0</v>
      </c>
      <c r="L966" s="28">
        <f t="shared" si="63"/>
        <v>0</v>
      </c>
    </row>
    <row r="967" spans="8:12" x14ac:dyDescent="0.25">
      <c r="H967" s="27">
        <f t="shared" si="60"/>
        <v>0</v>
      </c>
      <c r="J967" s="28">
        <f t="shared" si="61"/>
        <v>0</v>
      </c>
      <c r="K967" s="29">
        <f t="shared" si="62"/>
        <v>0</v>
      </c>
      <c r="L967" s="28">
        <f t="shared" si="63"/>
        <v>0</v>
      </c>
    </row>
    <row r="968" spans="8:12" x14ac:dyDescent="0.25">
      <c r="H968" s="27">
        <f t="shared" si="60"/>
        <v>0</v>
      </c>
      <c r="J968" s="28">
        <f t="shared" si="61"/>
        <v>0</v>
      </c>
      <c r="K968" s="29">
        <f t="shared" si="62"/>
        <v>0</v>
      </c>
      <c r="L968" s="28">
        <f t="shared" si="63"/>
        <v>0</v>
      </c>
    </row>
    <row r="969" spans="8:12" x14ac:dyDescent="0.25">
      <c r="H969" s="27">
        <f t="shared" si="60"/>
        <v>0</v>
      </c>
      <c r="J969" s="28">
        <f t="shared" si="61"/>
        <v>0</v>
      </c>
      <c r="K969" s="29">
        <f t="shared" si="62"/>
        <v>0</v>
      </c>
      <c r="L969" s="28">
        <f t="shared" si="63"/>
        <v>0</v>
      </c>
    </row>
    <row r="970" spans="8:12" x14ac:dyDescent="0.25">
      <c r="H970" s="27">
        <f t="shared" si="60"/>
        <v>0</v>
      </c>
      <c r="J970" s="28">
        <f t="shared" si="61"/>
        <v>0</v>
      </c>
      <c r="K970" s="29">
        <f t="shared" si="62"/>
        <v>0</v>
      </c>
      <c r="L970" s="28">
        <f t="shared" si="63"/>
        <v>0</v>
      </c>
    </row>
    <row r="971" spans="8:12" x14ac:dyDescent="0.25">
      <c r="H971" s="27">
        <f t="shared" si="60"/>
        <v>0</v>
      </c>
      <c r="J971" s="28">
        <f t="shared" si="61"/>
        <v>0</v>
      </c>
      <c r="K971" s="29">
        <f t="shared" si="62"/>
        <v>0</v>
      </c>
      <c r="L971" s="28">
        <f t="shared" si="63"/>
        <v>0</v>
      </c>
    </row>
    <row r="972" spans="8:12" x14ac:dyDescent="0.25">
      <c r="H972" s="27">
        <f t="shared" si="60"/>
        <v>0</v>
      </c>
      <c r="J972" s="28">
        <f t="shared" si="61"/>
        <v>0</v>
      </c>
      <c r="K972" s="29">
        <f t="shared" si="62"/>
        <v>0</v>
      </c>
      <c r="L972" s="28">
        <f t="shared" si="63"/>
        <v>0</v>
      </c>
    </row>
    <row r="973" spans="8:12" x14ac:dyDescent="0.25">
      <c r="H973" s="27">
        <f t="shared" si="60"/>
        <v>0</v>
      </c>
      <c r="J973" s="28">
        <f t="shared" si="61"/>
        <v>0</v>
      </c>
      <c r="K973" s="29">
        <f t="shared" si="62"/>
        <v>0</v>
      </c>
      <c r="L973" s="28">
        <f t="shared" si="63"/>
        <v>0</v>
      </c>
    </row>
    <row r="974" spans="8:12" x14ac:dyDescent="0.25">
      <c r="H974" s="27">
        <f t="shared" si="60"/>
        <v>0</v>
      </c>
      <c r="J974" s="28">
        <f t="shared" si="61"/>
        <v>0</v>
      </c>
      <c r="K974" s="29">
        <f t="shared" si="62"/>
        <v>0</v>
      </c>
      <c r="L974" s="28">
        <f t="shared" si="63"/>
        <v>0</v>
      </c>
    </row>
    <row r="975" spans="8:12" x14ac:dyDescent="0.25">
      <c r="H975" s="27">
        <f t="shared" si="60"/>
        <v>0</v>
      </c>
      <c r="J975" s="28">
        <f t="shared" si="61"/>
        <v>0</v>
      </c>
      <c r="K975" s="29">
        <f t="shared" si="62"/>
        <v>0</v>
      </c>
      <c r="L975" s="28">
        <f t="shared" si="63"/>
        <v>0</v>
      </c>
    </row>
    <row r="976" spans="8:12" x14ac:dyDescent="0.25">
      <c r="H976" s="27">
        <f t="shared" si="60"/>
        <v>0</v>
      </c>
      <c r="J976" s="28">
        <f t="shared" si="61"/>
        <v>0</v>
      </c>
      <c r="K976" s="29">
        <f t="shared" si="62"/>
        <v>0</v>
      </c>
      <c r="L976" s="28">
        <f t="shared" si="63"/>
        <v>0</v>
      </c>
    </row>
    <row r="977" spans="8:12" x14ac:dyDescent="0.25">
      <c r="H977" s="27">
        <f t="shared" si="60"/>
        <v>0</v>
      </c>
      <c r="J977" s="28">
        <f t="shared" si="61"/>
        <v>0</v>
      </c>
      <c r="K977" s="29">
        <f t="shared" si="62"/>
        <v>0</v>
      </c>
      <c r="L977" s="28">
        <f t="shared" si="63"/>
        <v>0</v>
      </c>
    </row>
    <row r="978" spans="8:12" x14ac:dyDescent="0.25">
      <c r="H978" s="27">
        <f t="shared" si="60"/>
        <v>0</v>
      </c>
      <c r="J978" s="28">
        <f t="shared" si="61"/>
        <v>0</v>
      </c>
      <c r="K978" s="29">
        <f t="shared" si="62"/>
        <v>0</v>
      </c>
      <c r="L978" s="28">
        <f t="shared" si="63"/>
        <v>0</v>
      </c>
    </row>
    <row r="979" spans="8:12" x14ac:dyDescent="0.25">
      <c r="H979" s="27">
        <f t="shared" si="60"/>
        <v>0</v>
      </c>
      <c r="J979" s="28">
        <f t="shared" si="61"/>
        <v>0</v>
      </c>
      <c r="K979" s="29">
        <f t="shared" si="62"/>
        <v>0</v>
      </c>
      <c r="L979" s="28">
        <f t="shared" si="63"/>
        <v>0</v>
      </c>
    </row>
    <row r="980" spans="8:12" x14ac:dyDescent="0.25">
      <c r="H980" s="27">
        <f t="shared" si="60"/>
        <v>0</v>
      </c>
      <c r="J980" s="28">
        <f t="shared" si="61"/>
        <v>0</v>
      </c>
      <c r="K980" s="29">
        <f t="shared" si="62"/>
        <v>0</v>
      </c>
      <c r="L980" s="28">
        <f t="shared" si="63"/>
        <v>0</v>
      </c>
    </row>
    <row r="981" spans="8:12" x14ac:dyDescent="0.25">
      <c r="H981" s="27">
        <f t="shared" si="60"/>
        <v>0</v>
      </c>
      <c r="J981" s="28">
        <f t="shared" si="61"/>
        <v>0</v>
      </c>
      <c r="K981" s="29">
        <f t="shared" si="62"/>
        <v>0</v>
      </c>
      <c r="L981" s="28">
        <f t="shared" si="63"/>
        <v>0</v>
      </c>
    </row>
    <row r="982" spans="8:12" x14ac:dyDescent="0.25">
      <c r="H982" s="27">
        <f t="shared" si="60"/>
        <v>0</v>
      </c>
      <c r="J982" s="28">
        <f t="shared" si="61"/>
        <v>0</v>
      </c>
      <c r="K982" s="29">
        <f t="shared" si="62"/>
        <v>0</v>
      </c>
      <c r="L982" s="28">
        <f t="shared" si="63"/>
        <v>0</v>
      </c>
    </row>
    <row r="983" spans="8:12" x14ac:dyDescent="0.25">
      <c r="H983" s="27">
        <f t="shared" si="60"/>
        <v>0</v>
      </c>
      <c r="J983" s="28">
        <f t="shared" si="61"/>
        <v>0</v>
      </c>
      <c r="K983" s="29">
        <f t="shared" si="62"/>
        <v>0</v>
      </c>
      <c r="L983" s="28">
        <f t="shared" si="63"/>
        <v>0</v>
      </c>
    </row>
    <row r="984" spans="8:12" x14ac:dyDescent="0.25">
      <c r="H984" s="27">
        <f t="shared" si="60"/>
        <v>0</v>
      </c>
      <c r="J984" s="28">
        <f t="shared" si="61"/>
        <v>0</v>
      </c>
      <c r="K984" s="29">
        <f t="shared" si="62"/>
        <v>0</v>
      </c>
      <c r="L984" s="28">
        <f t="shared" si="63"/>
        <v>0</v>
      </c>
    </row>
    <row r="985" spans="8:12" x14ac:dyDescent="0.25">
      <c r="H985" s="27">
        <f t="shared" si="60"/>
        <v>0</v>
      </c>
      <c r="J985" s="28">
        <f t="shared" si="61"/>
        <v>0</v>
      </c>
      <c r="K985" s="29">
        <f t="shared" si="62"/>
        <v>0</v>
      </c>
      <c r="L985" s="28">
        <f t="shared" si="63"/>
        <v>0</v>
      </c>
    </row>
    <row r="986" spans="8:12" x14ac:dyDescent="0.25">
      <c r="H986" s="27">
        <f t="shared" si="60"/>
        <v>0</v>
      </c>
      <c r="J986" s="28">
        <f t="shared" si="61"/>
        <v>0</v>
      </c>
      <c r="K986" s="29">
        <f t="shared" si="62"/>
        <v>0</v>
      </c>
      <c r="L986" s="28">
        <f t="shared" si="63"/>
        <v>0</v>
      </c>
    </row>
    <row r="987" spans="8:12" x14ac:dyDescent="0.25">
      <c r="H987" s="27">
        <f t="shared" si="60"/>
        <v>0</v>
      </c>
      <c r="J987" s="28">
        <f t="shared" si="61"/>
        <v>0</v>
      </c>
      <c r="K987" s="29">
        <f t="shared" si="62"/>
        <v>0</v>
      </c>
      <c r="L987" s="28">
        <f t="shared" si="63"/>
        <v>0</v>
      </c>
    </row>
    <row r="988" spans="8:12" x14ac:dyDescent="0.25">
      <c r="H988" s="27">
        <f t="shared" si="60"/>
        <v>0</v>
      </c>
      <c r="J988" s="28">
        <f t="shared" si="61"/>
        <v>0</v>
      </c>
      <c r="K988" s="29">
        <f t="shared" si="62"/>
        <v>0</v>
      </c>
      <c r="L988" s="28">
        <f t="shared" si="63"/>
        <v>0</v>
      </c>
    </row>
    <row r="989" spans="8:12" x14ac:dyDescent="0.25">
      <c r="H989" s="27">
        <f t="shared" si="60"/>
        <v>0</v>
      </c>
      <c r="J989" s="28">
        <f t="shared" si="61"/>
        <v>0</v>
      </c>
      <c r="K989" s="29">
        <f t="shared" si="62"/>
        <v>0</v>
      </c>
      <c r="L989" s="28">
        <f t="shared" si="63"/>
        <v>0</v>
      </c>
    </row>
    <row r="990" spans="8:12" x14ac:dyDescent="0.25">
      <c r="H990" s="27">
        <f t="shared" si="60"/>
        <v>0</v>
      </c>
      <c r="J990" s="28">
        <f t="shared" si="61"/>
        <v>0</v>
      </c>
      <c r="K990" s="29">
        <f t="shared" si="62"/>
        <v>0</v>
      </c>
      <c r="L990" s="28">
        <f t="shared" si="63"/>
        <v>0</v>
      </c>
    </row>
    <row r="991" spans="8:12" x14ac:dyDescent="0.25">
      <c r="H991" s="27">
        <f t="shared" si="60"/>
        <v>0</v>
      </c>
      <c r="J991" s="28">
        <f t="shared" si="61"/>
        <v>0</v>
      </c>
      <c r="K991" s="29">
        <f t="shared" si="62"/>
        <v>0</v>
      </c>
      <c r="L991" s="28">
        <f t="shared" si="63"/>
        <v>0</v>
      </c>
    </row>
    <row r="992" spans="8:12" x14ac:dyDescent="0.25">
      <c r="H992" s="27">
        <f t="shared" si="60"/>
        <v>0</v>
      </c>
      <c r="J992" s="28">
        <f t="shared" si="61"/>
        <v>0</v>
      </c>
      <c r="K992" s="29">
        <f t="shared" si="62"/>
        <v>0</v>
      </c>
      <c r="L992" s="28">
        <f t="shared" si="63"/>
        <v>0</v>
      </c>
    </row>
    <row r="993" spans="8:12" x14ac:dyDescent="0.25">
      <c r="H993" s="27">
        <f t="shared" si="60"/>
        <v>0</v>
      </c>
      <c r="J993" s="28">
        <f t="shared" si="61"/>
        <v>0</v>
      </c>
      <c r="K993" s="29">
        <f t="shared" si="62"/>
        <v>0</v>
      </c>
      <c r="L993" s="28">
        <f t="shared" si="63"/>
        <v>0</v>
      </c>
    </row>
    <row r="994" spans="8:12" x14ac:dyDescent="0.25">
      <c r="H994" s="27">
        <f t="shared" si="60"/>
        <v>0</v>
      </c>
      <c r="J994" s="28">
        <f t="shared" si="61"/>
        <v>0</v>
      </c>
      <c r="K994" s="29">
        <f t="shared" si="62"/>
        <v>0</v>
      </c>
      <c r="L994" s="28">
        <f t="shared" si="63"/>
        <v>0</v>
      </c>
    </row>
    <row r="995" spans="8:12" x14ac:dyDescent="0.25">
      <c r="H995" s="27">
        <f t="shared" si="60"/>
        <v>0</v>
      </c>
      <c r="J995" s="28">
        <f t="shared" si="61"/>
        <v>0</v>
      </c>
      <c r="K995" s="29">
        <f t="shared" si="62"/>
        <v>0</v>
      </c>
      <c r="L995" s="28">
        <f t="shared" si="63"/>
        <v>0</v>
      </c>
    </row>
    <row r="996" spans="8:12" x14ac:dyDescent="0.25">
      <c r="H996" s="27">
        <f t="shared" si="60"/>
        <v>0</v>
      </c>
      <c r="J996" s="28">
        <f t="shared" si="61"/>
        <v>0</v>
      </c>
      <c r="K996" s="29">
        <f t="shared" si="62"/>
        <v>0</v>
      </c>
      <c r="L996" s="28">
        <f t="shared" si="63"/>
        <v>0</v>
      </c>
    </row>
    <row r="997" spans="8:12" x14ac:dyDescent="0.25">
      <c r="H997" s="27">
        <f t="shared" si="60"/>
        <v>0</v>
      </c>
      <c r="J997" s="28">
        <f t="shared" si="61"/>
        <v>0</v>
      </c>
      <c r="K997" s="29">
        <f t="shared" si="62"/>
        <v>0</v>
      </c>
      <c r="L997" s="28">
        <f t="shared" si="63"/>
        <v>0</v>
      </c>
    </row>
    <row r="998" spans="8:12" x14ac:dyDescent="0.25">
      <c r="H998" s="27">
        <f t="shared" si="60"/>
        <v>0</v>
      </c>
      <c r="J998" s="28">
        <f t="shared" si="61"/>
        <v>0</v>
      </c>
      <c r="K998" s="29">
        <f t="shared" si="62"/>
        <v>0</v>
      </c>
      <c r="L998" s="28">
        <f t="shared" si="63"/>
        <v>0</v>
      </c>
    </row>
    <row r="999" spans="8:12" x14ac:dyDescent="0.25">
      <c r="H999" s="27">
        <f t="shared" si="60"/>
        <v>0</v>
      </c>
      <c r="J999" s="28">
        <f t="shared" si="61"/>
        <v>0</v>
      </c>
      <c r="K999" s="29">
        <f t="shared" si="62"/>
        <v>0</v>
      </c>
      <c r="L999" s="28">
        <f t="shared" si="63"/>
        <v>0</v>
      </c>
    </row>
    <row r="1000" spans="8:12" x14ac:dyDescent="0.25">
      <c r="H1000" s="27">
        <f t="shared" si="60"/>
        <v>0</v>
      </c>
      <c r="J1000" s="28">
        <f t="shared" si="61"/>
        <v>0</v>
      </c>
      <c r="K1000" s="29">
        <f t="shared" si="62"/>
        <v>0</v>
      </c>
      <c r="L1000" s="28">
        <f t="shared" si="63"/>
        <v>0</v>
      </c>
    </row>
  </sheetData>
  <autoFilter ref="A1:M5"/>
  <mergeCells count="1">
    <mergeCell ref="S4:T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zoomScaleNormal="100" workbookViewId="0">
      <selection activeCell="D15" sqref="D15"/>
    </sheetView>
  </sheetViews>
  <sheetFormatPr defaultColWidth="14.42578125" defaultRowHeight="15" x14ac:dyDescent="0.25"/>
  <cols>
    <col min="1" max="1" width="41.85546875" style="1" customWidth="1"/>
    <col min="2" max="2" width="17.28515625" style="1" customWidth="1"/>
    <col min="3" max="12" width="8.7109375" style="1" customWidth="1"/>
    <col min="13" max="13" width="39.5703125" style="1" customWidth="1"/>
    <col min="14" max="14" width="37" style="1" customWidth="1"/>
    <col min="15" max="26" width="8.7109375" style="1" customWidth="1"/>
  </cols>
  <sheetData>
    <row r="1" spans="1:14" x14ac:dyDescent="0.25">
      <c r="M1" s="44"/>
      <c r="N1" s="44"/>
    </row>
    <row r="2" spans="1:14" x14ac:dyDescent="0.25">
      <c r="A2" s="45" t="s">
        <v>29</v>
      </c>
      <c r="B2" s="46">
        <v>1</v>
      </c>
      <c r="C2" s="47" t="s">
        <v>30</v>
      </c>
      <c r="M2" s="44"/>
    </row>
    <row r="3" spans="1:14" x14ac:dyDescent="0.25">
      <c r="A3" s="48" t="s">
        <v>31</v>
      </c>
      <c r="B3" s="49">
        <v>6</v>
      </c>
      <c r="C3" s="50" t="s">
        <v>32</v>
      </c>
      <c r="M3" s="44"/>
    </row>
    <row r="4" spans="1:14" x14ac:dyDescent="0.25">
      <c r="A4" s="51" t="s">
        <v>33</v>
      </c>
      <c r="B4" s="52">
        <f>Базовый!T5/(22*B3)+B2</f>
        <v>1</v>
      </c>
      <c r="C4" s="53" t="s">
        <v>30</v>
      </c>
      <c r="M4" s="44"/>
    </row>
    <row r="5" spans="1:14" x14ac:dyDescent="0.25">
      <c r="A5" s="54" t="s">
        <v>34</v>
      </c>
      <c r="B5" s="55">
        <f>Базовый!U2/1000 / 1.2</f>
        <v>0</v>
      </c>
      <c r="C5" s="56" t="s">
        <v>35</v>
      </c>
      <c r="M5" s="44"/>
    </row>
    <row r="6" spans="1:14" x14ac:dyDescent="0.25">
      <c r="A6" s="54" t="s">
        <v>23</v>
      </c>
      <c r="B6" s="55" t="e">
        <f>B5/(Базовый!T5/22)</f>
        <v>#DIV/0!</v>
      </c>
      <c r="C6" s="56" t="s">
        <v>35</v>
      </c>
      <c r="D6" s="38"/>
      <c r="M6" s="44"/>
    </row>
    <row r="7" spans="1:14" x14ac:dyDescent="0.25">
      <c r="M7" s="44"/>
    </row>
    <row r="8" spans="1:14" x14ac:dyDescent="0.25">
      <c r="M8" s="44"/>
    </row>
    <row r="9" spans="1:14" x14ac:dyDescent="0.25">
      <c r="M9" s="44"/>
    </row>
    <row r="10" spans="1:14" x14ac:dyDescent="0.25">
      <c r="M10" s="44"/>
    </row>
    <row r="11" spans="1:14" x14ac:dyDescent="0.25">
      <c r="A11" s="27" t="s">
        <v>36</v>
      </c>
      <c r="B11" s="27" t="s">
        <v>37</v>
      </c>
      <c r="M11" s="44"/>
    </row>
    <row r="12" spans="1:14" x14ac:dyDescent="0.25">
      <c r="A12" s="27" t="s">
        <v>18</v>
      </c>
      <c r="B12" s="57" t="e">
        <f>SUMIF(Базовый!M:M,'анализ стоимости'!A12,Базовый!L:L)/SUM(Базовый!L:L)</f>
        <v>#DIV/0!</v>
      </c>
    </row>
    <row r="13" spans="1:14" x14ac:dyDescent="0.25">
      <c r="A13" s="27" t="s">
        <v>20</v>
      </c>
      <c r="B13" s="57" t="e">
        <f>SUMIF(Базовый!M:M,'анализ стоимости'!A13,Базовый!L:L)/SUM(Базовый!L:L)</f>
        <v>#DIV/0!</v>
      </c>
    </row>
    <row r="14" spans="1:14" x14ac:dyDescent="0.25">
      <c r="A14" s="27" t="s">
        <v>22</v>
      </c>
      <c r="B14" s="57" t="e">
        <f>SUMIF(Базовый!M:M,'анализ стоимости'!A14,Базовый!L:L)/SUM(Базовый!L:L)</f>
        <v>#DIV/0!</v>
      </c>
    </row>
    <row r="15" spans="1:14" x14ac:dyDescent="0.25">
      <c r="A15" s="27" t="s">
        <v>25</v>
      </c>
      <c r="B15" s="57" t="e">
        <f>SUMIF(Базовый!M:M,'анализ стоимости'!A15,Базовый!L:L)/SUM(Базовый!L:L)</f>
        <v>#DIV/0!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zoomScaleNormal="100" workbookViewId="0">
      <selection activeCell="D16" sqref="D16"/>
    </sheetView>
  </sheetViews>
  <sheetFormatPr defaultColWidth="10.140625" defaultRowHeight="15" x14ac:dyDescent="0.25"/>
  <cols>
    <col min="1" max="1" width="16.28515625" style="1" customWidth="1"/>
    <col min="2" max="2" width="12.140625" style="1" customWidth="1"/>
    <col min="3" max="4" width="18" style="1" customWidth="1"/>
  </cols>
  <sheetData>
    <row r="1" spans="1:4" x14ac:dyDescent="0.25">
      <c r="A1" s="1" t="s">
        <v>38</v>
      </c>
      <c r="B1" s="38" t="s">
        <v>39</v>
      </c>
      <c r="C1" s="38" t="s">
        <v>40</v>
      </c>
      <c r="D1" s="38" t="s">
        <v>41</v>
      </c>
    </row>
    <row r="2" spans="1:4" x14ac:dyDescent="0.25">
      <c r="A2" s="1" t="s">
        <v>42</v>
      </c>
      <c r="B2" s="58">
        <v>46052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Roman,Обычный"&amp;12&amp;Kffffff&amp;A</oddHeader>
    <oddFooter>&amp;C&amp;"Times New Roman,Обычный"&amp;12&amp;KffffffСтраница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44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Базовый</vt:lpstr>
      <vt:lpstr>анализ стоимости</vt:lpstr>
      <vt:lpstr>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Vik Kis</cp:lastModifiedBy>
  <cp:revision>12</cp:revision>
  <dcterms:created xsi:type="dcterms:W3CDTF">2006-09-16T00:00:00Z</dcterms:created>
  <dcterms:modified xsi:type="dcterms:W3CDTF">2026-05-16T16:29:35Z</dcterms:modified>
  <dc:language>ru-RU</dc:language>
</cp:coreProperties>
</file>